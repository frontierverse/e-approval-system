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1a72f11d8744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초등학교" sheetId="32" r:id="Rb5a93f9139a84834"/>
    <x:sheet xmlns:r="http://schemas.openxmlformats.org/officeDocument/2006/relationships" name="병설유치원" sheetId="33" r:id="R29d86cb7638249a4"/>
    <x:sheet xmlns:r="http://schemas.openxmlformats.org/officeDocument/2006/relationships" name="초등학교+병설유치원(7월)" sheetId="34" r:id="R98b896797ea9434f"/>
    <x:sheet xmlns:r="http://schemas.openxmlformats.org/officeDocument/2006/relationships" name="초등학교+병설유치원(8월)" sheetId="35" r:id="Rab4cbd3560954d44"/>
    <x:sheet xmlns:r="http://schemas.openxmlformats.org/officeDocument/2006/relationships" name="세부내역" sheetId="13" r:id="Rc18f10b28dce435c"/>
    <x:sheet xmlns:r="http://schemas.openxmlformats.org/officeDocument/2006/relationships" name="도시락 관리" sheetId="36" r:id="Rc5c5d9d285e94607"/>
    <x:sheet xmlns:r="http://schemas.openxmlformats.org/officeDocument/2006/relationships" name="일자별 상세" sheetId="37" r:id="R9efa3c1420674f58"/>
  </x:sheets>
</x:workbook>
</file>

<file path=xl/sharedStrings.xml><?xml version="1.0" encoding="utf-8"?>
<x:sst xmlns:x="http://schemas.openxmlformats.org/spreadsheetml/2006/main">
  <x:si>
    <x:t xml:space="preserve">2026년 사회적 경제 연계형 통합 돌봄 지원사업(여름방학) 신청 현황</x:t>
  </x:si>
  <x:si>
    <x:t xml:space="preserve">순</x:t>
  </x:si>
  <x:si>
    <x:t xml:space="preserve">학교명</x:t>
  </x:si>
  <x:si>
    <x:t xml:space="preserve">주소</x:t>
  </x:si>
  <x:si>
    <x:t xml:space="preserve">돌봄전담사 연락처
(돌봄도시락 담당자)</x:t>
  </x:si>
  <x:si>
    <x:t xml:space="preserve">도시락 수령책임자</x:t>
  </x:si>
  <x:si>
    <x:t xml:space="preserve">도시락 신청 돌봄교실 현황(명)</x:t>
  </x:si>
  <x:si>
    <x:t xml:space="preserve">도시락 공급</x:t>
  </x:si>
  <x:si>
    <x:t xml:space="preserve">보존식 위치</x:t>
  </x:si>
  <x:si>
    <x:t xml:space="preserve">비고</x:t>
  </x:si>
  <x:si>
    <x:t xml:space="preserve">총계</x:t>
  </x:si>
  <x:si>
    <x:t xml:space="preserve">1반
(보존식
포함)</x:t>
  </x:si>
  <x:si>
    <x:t xml:space="preserve">2반</x:t>
  </x:si>
  <x:si>
    <x:t xml:space="preserve">3반</x:t>
  </x:si>
  <x:si>
    <x:t xml:space="preserve">4반</x:t>
  </x:si>
  <x:si>
    <x:t xml:space="preserve">연계형</x:t>
  </x:si>
  <x:si>
    <x:t xml:space="preserve">중식 
시작시간</x:t>
  </x:si>
  <x:si>
    <x:t xml:space="preserve">도시락 공급기간
(일수)</x:t>
  </x:si>
  <x:si>
    <x:t xml:space="preserve">도시락 공급기간 중 
돌봄교실 방학기간
(일수)</x:t>
  </x:si>
  <x:si>
    <x:t xml:space="preserve">실제 
공급일수</x:t>
  </x:si>
  <x:si>
    <x:t xml:space="preserve">공급방법</x:t>
  </x:si>
  <x:si>
    <x:t xml:space="preserve">보존식 
위치</x:t>
  </x:si>
  <x:si>
    <x:t xml:space="preserve">보존식 
관리담당자</x:t>
  </x:si>
  <x:si>
    <x:t xml:space="preserve">영만초</x:t>
  </x:si>
  <x:si>
    <x:t xml:space="preserve">익산시 오산면 선화로4길 42-9</x:t>
  </x:si>
  <x:si>
    <x:t xml:space="preserve">이영숙
(063-850-4834
010-4125-5427)</x:t>
  </x:si>
  <x:si>
    <x:t xml:space="preserve">장해진
(063-850-4804
010-7177-0321)</x:t>
  </x:si>
  <x:si>
    <x:t xml:space="preserve">7.29.~8.14.
(13일)</x:t>
  </x:si>
  <x:si>
    <x:t xml:space="preserve">13일</x:t>
  </x:si>
  <x:si>
    <x:t xml:space="preserve">배식</x:t>
  </x:si>
  <x:si>
    <x:t xml:space="preserve">돌봄3반</x:t>
  </x:si>
  <x:si>
    <x:t xml:space="preserve">이영숙</x:t>
  </x:si>
  <x:si>
    <x:t xml:space="preserve">이리계문초</x:t>
  </x:si>
  <x:si>
    <x:t xml:space="preserve">익산시 계문길 79-8</x:t>
  </x:si>
  <x:si>
    <x:t xml:space="preserve">유경란
(070-4944-1994
010-5586-3580)</x:t>
  </x:si>
  <x:si>
    <x:t xml:space="preserve">7.27.~8.7.
(10일)</x:t>
  </x:si>
  <x:si>
    <x:t xml:space="preserve">10일</x:t>
  </x:si>
  <x:si>
    <x:t xml:space="preserve">돌봄1반</x:t>
  </x:si>
  <x:si>
    <x:t xml:space="preserve">유경란</x:t>
  </x:si>
  <x:si>
    <x:t xml:space="preserve">이리고현초</x:t>
  </x:si>
  <x:si>
    <x:t xml:space="preserve">익산시 선화로 23길 44</x:t>
  </x:si>
  <x:si>
    <x:t xml:space="preserve">김성심
(070-7601-4286
010-4581-7052)</x:t>
  </x:si>
  <x:si>
    <x:t xml:space="preserve">7.27.~8.14.
(12일)</x:t>
  </x:si>
  <x:si>
    <x:t xml:space="preserve">7.29.~7.31.</x:t>
  </x:si>
  <x:si>
    <x:t xml:space="preserve">12일</x:t>
  </x:si>
  <x:si>
    <x:t xml:space="preserve">돌봄2반</x:t>
  </x:si>
  <x:si>
    <x:t xml:space="preserve">김성심</x:t>
  </x:si>
  <x:si>
    <x:t xml:space="preserve">이리남창초</x:t>
  </x:si>
  <x:si>
    <x:t xml:space="preserve">익산시 인북로 171</x:t>
  </x:si>
  <x:si>
    <x:t xml:space="preserve">안화정
(070-7777-4516
(010-2764-0079))</x:t>
  </x:si>
  <x:si>
    <x:t xml:space="preserve">최자영
(070-7706-5496)</x:t>
  </x:si>
  <x:si>
    <x:t xml:space="preserve">7.20.~8.18.
(21일)</x:t>
  </x:si>
  <x:si>
    <x:t xml:space="preserve">21일</x:t>
  </x:si>
  <x:si>
    <x:t xml:space="preserve">안화정</x:t>
  </x:si>
  <x:si>
    <x:t xml:space="preserve">이리남초</x:t>
  </x:si>
  <x:si>
    <x:t xml:space="preserve">익산시 번영로 2040-9</x:t>
  </x:si>
  <x:si>
    <x:t xml:space="preserve">박정민
(063-851-1413
010-2484-1287)</x:t>
  </x:si>
  <x:si>
    <x:t xml:space="preserve">진이순
(063-851-1413
010-7331-6381)</x:t>
  </x:si>
  <x:si>
    <x:t xml:space="preserve">7.28.~8.7.
(9일)</x:t>
  </x:si>
  <x:si>
    <x:t xml:space="preserve">9일</x:t>
  </x:si>
  <x:si>
    <x:t xml:space="preserve">도시락</x:t>
  </x:si>
  <x:si>
    <x:t xml:space="preserve">박정민</x:t>
  </x:si>
  <x:si>
    <x:t xml:space="preserve">이리동남초</x:t>
  </x:si>
  <x:si>
    <x:t xml:space="preserve">익산시 동천로 7길 18</x:t>
  </x:si>
  <x:si>
    <x:t xml:space="preserve">유현정
(063-723-2002
010-7158-1305)</x:t>
  </x:si>
  <x:si>
    <x:t xml:space="preserve">채경순
(063-842-8294
010-7417-3894)</x:t>
  </x:si>
  <x:si>
    <x:t xml:space="preserve">7.27.~8.20.
(15일)</x:t>
  </x:si>
  <x:si>
    <x:t xml:space="preserve">15일</x:t>
  </x:si>
  <x:si>
    <x:t xml:space="preserve">유현정</x:t>
  </x:si>
  <x:si>
    <x:t xml:space="preserve">이리동북초</x:t>
  </x:si>
  <x:si>
    <x:t xml:space="preserve">익산시 고봉로 190-3</x:t>
  </x:si>
  <x:si>
    <x:t xml:space="preserve">강윤녕
(063-853-8430
010-8641-2248)</x:t>
  </x:si>
  <x:si>
    <x:t xml:space="preserve">송배경
(063-853-8430
010-8641-2248)</x:t>
  </x:si>
  <x:si>
    <x:t xml:space="preserve">7.29.~8.24.
(18일)</x:t>
  </x:si>
  <x:si>
    <x:t xml:space="preserve">18일</x:t>
  </x:si>
  <x:si>
    <x:t xml:space="preserve">강윤녕</x:t>
  </x:si>
  <x:si>
    <x:t xml:space="preserve">이리동산초</x:t>
  </x:si>
  <x:si>
    <x:t xml:space="preserve">익산시 평동로 23길 46</x:t>
  </x:si>
  <x:si>
    <x:t xml:space="preserve">김서경
(070-7601-7377
010-6678-7273)</x:t>
  </x:si>
  <x:si>
    <x:t xml:space="preserve">한영임
(063-857-2230
010-4329-7650)</x:t>
  </x:si>
  <x:si>
    <x:t xml:space="preserve">7.29.~8.19.
(15일)</x:t>
  </x:si>
  <x:si>
    <x:t xml:space="preserve">김서경</x:t>
  </x:si>
  <x:si>
    <x:t xml:space="preserve">이리동초</x:t>
  </x:si>
  <x:si>
    <x:t xml:space="preserve">익산시 동서로 51길 57</x:t>
  </x:si>
  <x:si>
    <x:t xml:space="preserve">이은정
(063-830-6858
010-5605-0107)</x:t>
  </x:si>
  <x:si>
    <x:t xml:space="preserve">문미정
(063-830-6884
010-2431-7903)</x:t>
  </x:si>
  <x:si>
    <x:t xml:space="preserve">7.30.~8.19.
(13일)</x:t>
  </x:si>
  <x:si>
    <x:t xml:space="preserve">8.18.</x:t>
  </x:si>
  <x:si>
    <x:t xml:space="preserve">이은정</x:t>
  </x:si>
  <x:si>
    <x:t xml:space="preserve">이리마한초</x:t>
  </x:si>
  <x:si>
    <x:t xml:space="preserve">익산시 무왕로 17길 47</x:t>
  </x:si>
  <x:si>
    <x:t xml:space="preserve">박유숙
(063-830-1247
010-4058-2580)</x:t>
  </x:si>
  <x:si>
    <x:t xml:space="preserve">설경자
(063-830-1246)</x:t>
  </x:si>
  <x:si>
    <x:t xml:space="preserve">설경자</x:t>
  </x:si>
  <x:si>
    <x:t xml:space="preserve">이리모현초</x:t>
  </x:si>
  <x:si>
    <x:t xml:space="preserve">익산시 배산로 14길 2-4</x:t>
  </x:si>
  <x:si>
    <x:t xml:space="preserve">송인희
(070-4811-5581
010-2005-1857)</x:t>
  </x:si>
  <x:si>
    <x:t xml:space="preserve">박은진
(070-4811-5400
010-2604-3020)</x:t>
  </x:si>
  <x:si>
    <x:t xml:space="preserve">7.28.~8.14.
(14일)</x:t>
  </x:si>
  <x:si>
    <x:t xml:space="preserve">14일</x:t>
  </x:si>
  <x:si>
    <x:t xml:space="preserve">송인희</x:t>
  </x:si>
  <x:si>
    <x:t xml:space="preserve">이리백제초</x:t>
  </x:si>
  <x:si>
    <x:t xml:space="preserve">익산시 궁동로 29</x:t>
  </x:si>
  <x:si>
    <x:t xml:space="preserve">김영화
(070-4099-5539
010-5114-5562)</x:t>
  </x:si>
  <x:si>
    <x:t xml:space="preserve">백승희
(063-831-3474
010-4688-9303)</x:t>
  </x:si>
  <x:si>
    <x:t xml:space="preserve">7.30.~8.21.
(16일)</x:t>
  </x:si>
  <x:si>
    <x:t xml:space="preserve">16일</x:t>
  </x:si>
  <x:si>
    <x:t xml:space="preserve">김영화</x:t>
  </x:si>
  <x:si>
    <x:t xml:space="preserve">이리부송초</x:t>
  </x:si>
  <x:si>
    <x:t xml:space="preserve">익산시 부송로 2길 27</x:t>
  </x:si>
  <x:si>
    <x:t xml:space="preserve">문경희
(063-830-8685
010-8181-4932)</x:t>
  </x:si>
  <x:si>
    <x:t xml:space="preserve">문경희
(063-830-8683
010-8181-4932)</x:t>
  </x:si>
  <x:si>
    <x:t xml:space="preserve">최혜숙</x:t>
  </x:si>
  <x:si>
    <x:t xml:space="preserve">이리부천초</x:t>
  </x:si>
  <x:si>
    <x:t xml:space="preserve">익산시 부송1로 32</x:t>
  </x:si>
  <x:si>
    <x:t xml:space="preserve">백명금
(070-4323-5455
010-2241-1889)</x:t>
  </x:si>
  <x:si>
    <x:t xml:space="preserve">김진주
(070-4323-5480
010-8604-7618)</x:t>
  </x:si>
  <x:si>
    <x:t xml:space="preserve">7.29.~8.18.
(14일)</x:t>
  </x:si>
  <x:si>
    <x:t xml:space="preserve">백명금</x:t>
  </x:si>
  <x:si>
    <x:t xml:space="preserve">이리북일초</x:t>
  </x:si>
  <x:si>
    <x:t xml:space="preserve">익산시 동서로19길 100</x:t>
  </x:si>
  <x:si>
    <x:t xml:space="preserve">문현주
(070-7836-8174
010-4589-9616)</x:t>
  </x:si>
  <x:si>
    <x:t xml:space="preserve">이현명
(063-857-9728
010-5045-2290)</x:t>
  </x:si>
  <x:si>
    <x:t xml:space="preserve">7.29.~8.19.
(13일)</x:t>
  </x:si>
  <x:si>
    <x:t xml:space="preserve">7.30.~7.31.</x:t>
  </x:si>
  <x:si>
    <x:t xml:space="preserve">문현주</x:t>
  </x:si>
  <x:si>
    <x:t xml:space="preserve">이리북초</x:t>
  </x:si>
  <x:si>
    <x:t xml:space="preserve">익산시 인북로 58길 11</x:t>
  </x:si>
  <x:si>
    <x:t xml:space="preserve">한연희
(070-4811-0980
010-2977-7001)</x:t>
  </x:si>
  <x:si>
    <x:t xml:space="preserve">7.27.~8.12.
(13일)</x:t>
  </x:si>
  <x:si>
    <x:t xml:space="preserve">한연희</x:t>
  </x:si>
  <x:si>
    <x:t xml:space="preserve">이리삼성초</x:t>
  </x:si>
  <x:si>
    <x:t xml:space="preserve">익산시 하나로 15길 17-7</x:t>
  </x:si>
  <x:si>
    <x:t xml:space="preserve">최정희
(063-834-1048
010-4653-6312)</x:t>
  </x:si>
  <x:si>
    <x:t xml:space="preserve">최유진
(063-834-0116)</x:t>
  </x:si>
  <x:si>
    <x:t xml:space="preserve">8.3.~8.21.
(14일)</x:t>
  </x:si>
  <x:si>
    <x:t xml:space="preserve">최정희</x:t>
  </x:si>
  <x:si>
    <x:t xml:space="preserve">이리서초</x:t>
  </x:si>
  <x:si>
    <x:t xml:space="preserve">익산시 익산대로 213</x:t>
  </x:si>
  <x:si>
    <x:t xml:space="preserve">설예숙
(063-841-8616
010-5467-3542)</x:t>
  </x:si>
  <x:si>
    <x:t xml:space="preserve">7.28.~8.25.
(17일)</x:t>
  </x:si>
  <x:si>
    <x:t xml:space="preserve">17일</x:t>
  </x:si>
  <x:si>
    <x:t xml:space="preserve">설예숙</x:t>
  </x:si>
  <x:si>
    <x:t xml:space="preserve">이리석암초</x:t>
  </x:si>
  <x:si>
    <x:t xml:space="preserve">익산시 서동로 46길 119</x:t>
  </x:si>
  <x:si>
    <x:t xml:space="preserve">박현주
(063-835-1294
010-6571-0730)</x:t>
  </x:si>
  <x:si>
    <x:t xml:space="preserve">이명주
(063-835-1297)</x:t>
  </x:si>
  <x:si>
    <x:t xml:space="preserve">7.30.~8.20.
(15일)</x:t>
  </x:si>
  <x:si>
    <x:t xml:space="preserve">8.12.</x:t>
  </x:si>
  <x:si>
    <x:t xml:space="preserve">박현주</x:t>
  </x:si>
  <x:si>
    <x:t xml:space="preserve">이리송학초</x:t>
  </x:si>
  <x:si>
    <x:t xml:space="preserve">익산시 학곤로 57</x:t>
  </x:si>
  <x:si>
    <x:t xml:space="preserve">이영희
(063-851-3606
010-9860-6366)</x:t>
  </x:si>
  <x:si>
    <x:t xml:space="preserve">7.30.~8.19.
(14일)</x:t>
  </x:si>
  <x:si>
    <x:t xml:space="preserve">이영희</x:t>
  </x:si>
  <x:si>
    <x:t xml:space="preserve">이리신동초</x:t>
  </x:si>
  <x:si>
    <x:t xml:space="preserve">익산시 무왕로 981</x:t>
  </x:si>
  <x:si>
    <x:t xml:space="preserve">전은희
(070-7602-2456
010-2285-6952)</x:t>
  </x:si>
  <x:si>
    <x:t xml:space="preserve">최창규
(063-858-5064)</x:t>
  </x:si>
  <x:si>
    <x:t xml:space="preserve">7.27.~8.21.
(17일)</x:t>
  </x:si>
  <x:si>
    <x:t xml:space="preserve">8.18.~8.19.</x:t>
  </x:si>
  <x:si>
    <x:t xml:space="preserve">전은희</x:t>
  </x:si>
  <x:si>
    <x:t xml:space="preserve">이리신흥초</x:t>
  </x:si>
  <x:si>
    <x:t xml:space="preserve">익산시 중앙로 15길 20</x:t>
  </x:si>
  <x:si>
    <x:t xml:space="preserve">박은옥
(063-851-4725)</x:t>
  </x:si>
  <x:si>
    <x:t xml:space="preserve">이경현
(063-851-4725
010-4643-8219)</x:t>
  </x:si>
  <x:si>
    <x:t xml:space="preserve">박은옥</x:t>
  </x:si>
  <x:si>
    <x:t xml:space="preserve">이리영등초</x:t>
  </x:si>
  <x:si>
    <x:t xml:space="preserve">익산시 동서로 41길 37</x:t>
  </x:si>
  <x:si>
    <x:t xml:space="preserve">조연명
(063-720-2590
010-9335-5886)</x:t>
  </x:si>
  <x:si>
    <x:t xml:space="preserve">김원희</x:t>
  </x:si>
  <x:si>
    <x:t xml:space="preserve">이리중앙초</x:t>
  </x:si>
  <x:si>
    <x:t xml:space="preserve">익산시 인북로 77</x:t>
  </x:si>
  <x:si>
    <x:t xml:space="preserve">정영희
(070-8852-0016
010-6808-0471)</x:t>
  </x:si>
  <x:si>
    <x:t xml:space="preserve">정선희
(010-6236-2486)</x:t>
  </x:si>
  <x:si>
    <x:t xml:space="preserve">7.28.~8.19.
(16일)</x:t>
  </x:si>
  <x:si>
    <x:t xml:space="preserve">정영희</x:t>
  </x:si>
  <x:si>
    <x:t xml:space="preserve">이리초</x:t>
  </x:si>
  <x:si>
    <x:t xml:space="preserve">최현희
(070-4332-9857
010-2639-4991)</x:t>
  </x:si>
  <x:si>
    <x:t xml:space="preserve">이현라
(063-722-0122)</x:t>
  </x:si>
  <x:si>
    <x:t xml:space="preserve">8.3.~8.31.
(20일)</x:t>
  </x:si>
  <x:si>
    <x:t xml:space="preserve">20일</x:t>
  </x:si>
  <x:si>
    <x:t xml:space="preserve">최현희</x:t>
  </x:si>
  <x:si>
    <x:t xml:space="preserve">이리팔봉초</x:t>
  </x:si>
  <x:si>
    <x:t xml:space="preserve">익산시 무왕로 31길 10</x:t>
  </x:si>
  <x:si>
    <x:t xml:space="preserve">권효선
(070-8656-8312
010-2648-7664)</x:t>
  </x:si>
  <x:si>
    <x:t xml:space="preserve">김태호
(063-835-2944)</x:t>
  </x:si>
  <x:si>
    <x:t xml:space="preserve">7.29.~8.20.
(16일)</x:t>
  </x:si>
  <x:si>
    <x:t xml:space="preserve">김혜선</x:t>
  </x:si>
  <x:si>
    <x:t xml:space="preserve">익산가온초</x:t>
  </x:si>
  <x:si>
    <x:t xml:space="preserve">익산시 선화로1길 106</x:t>
  </x:si>
  <x:si>
    <x:t xml:space="preserve">최애경
(063-840-8249
010-6686-2723)</x:t>
  </x:si>
  <x:si>
    <x:t xml:space="preserve">오수영
(063-840-8296
010-7174-3786)</x:t>
  </x:si>
  <x:si>
    <x:t xml:space="preserve">백현순</x:t>
  </x:si>
  <x:si>
    <x:t xml:space="preserve">익산궁동초</x:t>
  </x:si>
  <x:si>
    <x:t xml:space="preserve">익산시 무왕로25길 26</x:t>
  </x:si>
  <x:si>
    <x:t xml:space="preserve">오영준
(063-836-4576
010-9855-7148)</x:t>
  </x:si>
  <x:si>
    <x:t xml:space="preserve">김진옥
(063-836-4579
010-8821-7896)</x:t>
  </x:si>
  <x:si>
    <x:t xml:space="preserve">7.28.~8.24.
(16일)</x:t>
  </x:si>
  <x:si>
    <x:t xml:space="preserve">오영준</x:t>
  </x:si>
  <x:si>
    <x:t xml:space="preserve">익산어양초</x:t>
  </x:si>
  <x:si>
    <x:t xml:space="preserve">익산시 하나로 10길 23</x:t>
  </x:si>
  <x:si>
    <x:t xml:space="preserve">이은실
(070-8852-5248
010-7305-9434)</x:t>
  </x:si>
  <x:si>
    <x:t xml:space="preserve">7.27.~8.13.
(14일)</x:t>
  </x:si>
  <x:si>
    <x:t xml:space="preserve">이은실</x:t>
  </x:si>
  <x:si>
    <x:t xml:space="preserve">익산옥야초</x:t>
  </x:si>
  <x:si>
    <x:t xml:space="preserve">익산시 옛둑2길 52</x:t>
  </x:si>
  <x:si>
    <x:t xml:space="preserve">이은선
(070-4913-6648
010-2070-1702)</x:t>
  </x:si>
  <x:si>
    <x:t xml:space="preserve">이은선
(070-837-7013
010-2070-1702)</x:t>
  </x:si>
  <x:si>
    <x:t xml:space="preserve">이은선</x:t>
  </x:si>
  <x:si>
    <x:t xml:space="preserve">익산초</x:t>
  </x:si>
  <x:si>
    <x:t xml:space="preserve">익산시 동서로 61길 27-38</x:t>
  </x:si>
  <x:si>
    <x:t xml:space="preserve">장길주
(070-4628-6532
010-9890-3028)</x:t>
  </x:si>
  <x:si>
    <x:t xml:space="preserve">심수진
(063-831-4383)</x:t>
  </x:si>
  <x:si>
    <x:t xml:space="preserve">남진숙</x:t>
  </x:si>
  <x:si>
    <x:t xml:space="preserve">익산한벌초</x:t>
  </x:si>
  <x:si>
    <x:t xml:space="preserve">익산시 부송1로 115</x:t>
  </x:si>
  <x:si>
    <x:t xml:space="preserve">김은숙
(063-839-1590
010-4344-5089)</x:t>
  </x:si>
  <x:si>
    <x:t xml:space="preserve">김은숙</x:t>
  </x:si>
  <x:si>
    <x:t xml:space="preserve">2026년 여름방학중 병설유치원 방학 중 도시락 신청 목록</x:t>
  </x:si>
  <x:si>
    <x:t xml:space="preserve">유치원명</x:t>
  </x:si>
  <x:si>
    <x:t xml:space="preserve">주소(도로명)</x:t>
  </x:si>
  <x:si>
    <x:t xml:space="preserve">담당자 연락처
(돌봄도시락 담당자)</x:t>
  </x:si>
  <x:si>
    <x:t xml:space="preserve">도시락 신청 방과후 과정 현황(명)</x:t>
  </x:si>
  <x:si>
    <x:t xml:space="preserve">유치원별 
수량(개)
보존식 포함</x:t>
  </x:si>
  <x:si>
    <x:t xml:space="preserve">총 유아수</x:t>
  </x:si>
  <x:si>
    <x:t xml:space="preserve">중식배송 희망시간
/ 배송시간 변경가능 여부</x:t>
  </x:si>
  <x:si>
    <x:t xml:space="preserve">중식 시작시간</x:t>
  </x:si>
  <x:si>
    <x:t xml:space="preserve">도시락 공급기간 중 
방과후 과정 방학기간
(일수)</x:t>
  </x:si>
  <x:si>
    <x:t xml:space="preserve">보존식 위치
(병설유치원 보존식 
제공일자 별도 작성</x:t>
  </x:si>
  <x:si>
    <x:t xml:space="preserve">보존식 관리담당자</x:t>
  </x:si>
  <x:si>
    <x:t xml:space="preserve">이리동남초 병설유치원</x:t>
  </x:si>
  <x:si>
    <x:t xml:space="preserve">익산시 동천로 7길</x:t>
  </x:si>
  <x:si>
    <x:t xml:space="preserve">송숙영
(010-2682-3503)</x:t>
  </x:si>
  <x:si>
    <x:t xml:space="preserve">김복례
(010-9699-2073)</x:t>
  </x:si>
  <x:si>
    <x:t xml:space="preserve">9명</x:t>
  </x:si>
  <x:si>
    <x:t xml:space="preserve">11:40 / 여</x:t>
  </x:si>
  <x:si>
    <x:t xml:space="preserve">7.24.~8.20.(19일)</x:t>
  </x:si>
  <x:si>
    <x:t xml:space="preserve">19일</x:t>
  </x:si>
  <x:si>
    <x:t xml:space="preserve">유치원 교사실</x:t>
  </x:si>
  <x:si>
    <x:t xml:space="preserve">이리마한초 병설유치원</x:t>
  </x:si>
  <x:si>
    <x:t xml:space="preserve">익산시 무왕로17길 47</x:t>
  </x:si>
  <x:si>
    <x:t xml:space="preserve">(063-831-6148
010-5105-1259)</x:t>
  </x:si>
  <x:si>
    <x:t xml:space="preserve">심신애
(010-5624-1606)</x:t>
  </x:si>
  <x:si>
    <x:t xml:space="preserve">4명</x:t>
  </x:si>
  <x:si>
    <x:t xml:space="preserve">11:30~12:00</x:t>
  </x:si>
  <x:si>
    <x:t xml:space="preserve">7.20.~24./ 8.3.~21.(19일)</x:t>
  </x:si>
  <x:si>
    <x:t xml:space="preserve">7.27.~31.(5일)</x:t>
  </x:si>
  <x:si>
    <x:t xml:space="preserve">간식준비실</x:t>
  </x:si>
  <x:si>
    <x:t xml:space="preserve">이리백제초 병설유치원</x:t>
  </x:si>
  <x:si>
    <x:t xml:space="preserve">(010-5203-8646)</x:t>
  </x:si>
  <x:si>
    <x:t xml:space="preserve">황예림
(010-8443-8414)</x:t>
  </x:si>
  <x:si>
    <x:t xml:space="preserve">2명</x:t>
  </x:si>
  <x:si>
    <x:t xml:space="preserve">7.16.~8.21.(20일)</x:t>
  </x:si>
  <x:si>
    <x:t xml:space="preserve">유치원 냉동고 및 초등학교 냉동고</x:t>
  </x:si>
  <x:si>
    <x:t xml:space="preserve">이리부천초 병설유치원</x:t>
  </x:si>
  <x:si>
    <x:t xml:space="preserve">문수현
(010-9289-5946)</x:t>
  </x:si>
  <x:si>
    <x:t xml:space="preserve">남선옥
(010-4542-3267)</x:t>
  </x:si>
  <x:si>
    <x:t xml:space="preserve">11명</x:t>
  </x:si>
  <x:si>
    <x:t xml:space="preserve">7.27.~8.24.(20일)</x:t>
  </x:si>
  <x:si>
    <x:t xml:space="preserve">유치원 냉장고</x:t>
  </x:si>
  <x:si>
    <x:t xml:space="preserve">남선옥
(063-833-2085
010-4542-3267)</x:t>
  </x:si>
  <x:si>
    <x:t xml:space="preserve">이리북초 병설유치원</x:t>
  </x:si>
  <x:si>
    <x:t xml:space="preserve">익산시 인북로58길 11</x:t>
  </x:si>
  <x:si>
    <x:t xml:space="preserve">063-852-4845</x:t>
  </x:si>
  <x:si>
    <x:t xml:space="preserve">김정은
(010-9877-1021)</x:t>
  </x:si>
  <x:si>
    <x:t xml:space="preserve">3명</x:t>
  </x:si>
  <x:si>
    <x:t xml:space="preserve">11:00~11:40 / 여</x:t>
  </x:si>
  <x:si>
    <x:t xml:space="preserve">7.27.~8.12.(13일)</x:t>
  </x:si>
  <x:si>
    <x:t xml:space="preserve">초등돌봄</x:t>
  </x:si>
  <x:si>
    <x:t xml:space="preserve">이유미
(010-8641-6320)</x:t>
  </x:si>
  <x:si>
    <x:t xml:space="preserve">이리송학초 병설유치원</x:t>
  </x:si>
  <x:si>
    <x:t xml:space="preserve">김성은
(063-856-3067
010-7174-8442)</x:t>
  </x:si>
  <x:si>
    <x:t xml:space="preserve">김순영
(063-856-3067
010-8705-8020)</x:t>
  </x:si>
  <x:si>
    <x:t xml:space="preserve">6명</x:t>
  </x:si>
  <x:si>
    <x:t xml:space="preserve">11:20 / 여</x:t>
  </x:si>
  <x:si>
    <x:t xml:space="preserve">8.3.~19.(12일)</x:t>
  </x:si>
  <x:si>
    <x:t xml:space="preserve">이리신흥초 병설유치원</x:t>
  </x:si>
  <x:si>
    <x:t xml:space="preserve">익산시 하나로3길 10</x:t>
  </x:si>
  <x:si>
    <x:t xml:space="preserve">010-9338-5101</x:t>
  </x:si>
  <x:si>
    <x:t xml:space="preserve">방근영
(010-9496-8134)</x:t>
  </x:si>
  <x:si>
    <x:t xml:space="preserve">11:50 / 여</x:t>
  </x:si>
  <x:si>
    <x:t xml:space="preserve">8.3.~14.(10일)</x:t>
  </x:si>
  <x:si>
    <x:t xml:space="preserve">유치원 교실</x:t>
  </x:si>
  <x:si>
    <x:t xml:space="preserve">이리중앙초 병설유치원</x:t>
  </x:si>
  <x:si>
    <x:t xml:space="preserve">이유리
(010-9711-7724)</x:t>
  </x:si>
  <x:si>
    <x:t xml:space="preserve">김미숙
(010-8350-5077)</x:t>
  </x:si>
  <x:si>
    <x:t xml:space="preserve">7.28.~8.19.(16일)</x:t>
  </x:si>
  <x:si>
    <x:t xml:space="preserve">초등 돌봄교실</x:t>
  </x:si>
  <x:si>
    <x:t xml:space="preserve">정영희
(010-6808-0471)</x:t>
  </x:si>
  <x:si>
    <x:t xml:space="preserve">익산가온초 병설유치원</x:t>
  </x:si>
  <x:si>
    <x:t xml:space="preserve">010-6662-5880</x:t>
  </x:si>
  <x:si>
    <x:t xml:space="preserve">홍화윤
(010-7132-4290)</x:t>
  </x:si>
  <x:si>
    <x:t xml:space="preserve">8.4.~19.(11일)</x:t>
  </x:si>
  <x:si>
    <x:t xml:space="preserve">11일</x:t>
  </x:si>
  <x:si>
    <x:t xml:space="preserve">백현순 
(063-840-8293)</x:t>
  </x:si>
  <x:si>
    <x:t xml:space="preserve">계</x:t>
  </x:si>
  <x:si>
    <x:t xml:space="preserve">50명</x:t>
  </x:si>
  <x:si>
    <x:t xml:space="preserve">2026년 사회적 경제 연계형 통합 돌봄 지원사업(여름방학) 7월분 일자별 공급 현황표(초등학교+병설유치원 총합)</x:t>
  </x:si>
  <x:si>
    <x:t xml:space="preserve">* _ (밑줄) : 보존식 1개 포함 이라는 의미</x:t>
  </x:si>
  <x:si>
    <x:t xml:space="preserve">7.16.(목)</x:t>
  </x:si>
  <x:si>
    <x:t xml:space="preserve">7.20.(월)</x:t>
  </x:si>
  <x:si>
    <x:t xml:space="preserve">7.21.(화)</x:t>
  </x:si>
  <x:si>
    <x:t xml:space="preserve">7.22.(수)</x:t>
  </x:si>
  <x:si>
    <x:t xml:space="preserve">7.23.(목)</x:t>
  </x:si>
  <x:si>
    <x:t xml:space="preserve">7.24.(금)</x:t>
  </x:si>
  <x:si>
    <x:t xml:space="preserve">7.27.(월)</x:t>
  </x:si>
  <x:si>
    <x:t xml:space="preserve">7.28.(화)</x:t>
  </x:si>
  <x:si>
    <x:t xml:space="preserve">7.29.(수)</x:t>
  </x:si>
  <x:si>
    <x:t xml:space="preserve">7.30.(목)</x:t>
  </x:si>
  <x:si>
    <x:t xml:space="preserve">7.31.(금)</x:t>
  </x:si>
  <x:si>
    <x:t xml:space="preserve">7월 
공급총계</x:t>
  </x:si>
  <x:si>
    <x:t xml:space="preserve">1반</x:t>
  </x:si>
  <x:si>
    <x:t xml:space="preserve">합계</x:t>
  </x:si>
  <x:si>
    <x:t xml:space="preserve">6-1</x:t>
  </x:si>
  <x:si>
    <x:t xml:space="preserve">김복례</x:t>
  </x:si>
  <x:si>
    <x:t xml:space="preserve">10-1</x:t>
  </x:si>
  <x:si>
    <x:t xml:space="preserve">심신애</x:t>
  </x:si>
  <x:si>
    <x:t xml:space="preserve">12-1</x:t>
  </x:si>
  <x:si>
    <x:t xml:space="preserve">유치원 냉동고 및
초등학교 냉동고</x:t>
  </x:si>
  <x:si>
    <x:t xml:space="preserve">황예림</x:t>
  </x:si>
  <x:si>
    <x:t xml:space="preserve">14-1</x:t>
  </x:si>
  <x:si>
    <x:t xml:space="preserve">남선옥</x:t>
  </x:si>
  <x:si>
    <x:t xml:space="preserve">16-1</x:t>
  </x:si>
  <x:si>
    <x:t xml:space="preserve">이유미</x:t>
  </x:si>
  <x:si>
    <x:t xml:space="preserve">20-1</x:t>
  </x:si>
  <x:si>
    <x:t xml:space="preserve">22-1</x:t>
  </x:si>
  <x:si>
    <x:t xml:space="preserve">방근영</x:t>
  </x:si>
  <x:si>
    <x:t xml:space="preserve">24-1</x:t>
  </x:si>
  <x:si>
    <x:t xml:space="preserve">27-1</x:t>
  </x:si>
  <x:si>
    <x:t xml:space="preserve">2026년 사회적 경제 연계형 통합 돌봄 지원사업(여름방학) 8월분 일자별 공급 현황표(초등학교+병설유치원 총합)</x:t>
  </x:si>
  <x:si>
    <x:t xml:space="preserve">8.3(월)</x:t>
  </x:si>
  <x:si>
    <x:t xml:space="preserve">8.4.(화)</x:t>
  </x:si>
  <x:si>
    <x:t xml:space="preserve">8.5.(수)</x:t>
  </x:si>
  <x:si>
    <x:t xml:space="preserve">8.6.(목)</x:t>
  </x:si>
  <x:si>
    <x:t xml:space="preserve">8.7.(금)</x:t>
  </x:si>
  <x:si>
    <x:t xml:space="preserve">8.10.(월)</x:t>
  </x:si>
  <x:si>
    <x:t xml:space="preserve">8.11.(화)</x:t>
  </x:si>
  <x:si>
    <x:t xml:space="preserve">8.12.(수)</x:t>
  </x:si>
  <x:si>
    <x:t xml:space="preserve">8.13.(목)</x:t>
  </x:si>
  <x:si>
    <x:t xml:space="preserve">8.14.(금)</x:t>
  </x:si>
  <x:si>
    <x:t xml:space="preserve">8.18.(화)</x:t>
  </x:si>
  <x:si>
    <x:t xml:space="preserve">8.19.(수)</x:t>
  </x:si>
  <x:si>
    <x:t xml:space="preserve">8.20.(목)</x:t>
  </x:si>
  <x:si>
    <x:t xml:space="preserve">8.21.(금)</x:t>
  </x:si>
  <x:si>
    <x:t xml:space="preserve">8.24.(월)</x:t>
  </x:si>
  <x:si>
    <x:t xml:space="preserve">8.25.(화)</x:t>
  </x:si>
  <x:si>
    <x:t xml:space="preserve">8.26.(수)</x:t>
  </x:si>
  <x:si>
    <x:t xml:space="preserve">8.27.(목)</x:t>
  </x:si>
  <x:si>
    <x:t xml:space="preserve">8.28.(금)</x:t>
  </x:si>
  <x:si>
    <x:t xml:space="preserve">8.31.(월)</x:t>
  </x:si>
  <x:si>
    <x:t xml:space="preserve">8월 
공급총계</x:t>
  </x:si>
  <x:si>
    <x:t xml:space="preserve">  '16년 흑미전용 도정 및 저장시설 지원사업 세부사업 집행내역</x:t>
  </x:si>
  <x:si>
    <x:t xml:space="preserve">(단위:원)</x:t>
  </x:si>
  <x:si>
    <x:t xml:space="preserve">시군
(대상자)</x:t>
  </x:si>
  <x:si>
    <x:t xml:space="preserve">세부사업항목</x:t>
  </x:si>
  <x:si>
    <x:t xml:space="preserve">사업실적(종)</x:t>
  </x:si>
  <x:si>
    <x:t xml:space="preserve">사업비 계획(A)</x:t>
  </x:si>
  <x:si>
    <x:t xml:space="preserve">사업비 집행(B)</x:t>
  </x:si>
  <x:si>
    <x:t xml:space="preserve">이월 사업비(C)</x:t>
  </x:si>
  <x:si>
    <x:t xml:space="preserve">사업비 잔액(D) (A-B-C)</x:t>
  </x:si>
  <x:si>
    <x:t xml:space="preserve">반납액(E) (D-F)</x:t>
  </x:si>
  <x:si>
    <x:t xml:space="preserve">국비
재사용액
(F) (D-E)</x:t>
  </x:si>
  <x:si>
    <x:t xml:space="preserve">계획(A)</x:t>
  </x:si>
  <x:si>
    <x:t xml:space="preserve">실적(B)</x:t>
  </x:si>
  <x:si>
    <x:t xml:space="preserve">B/A (%)</x:t>
  </x:si>
  <x:si>
    <x:t xml:space="preserve">지특</x:t>
  </x:si>
  <x:si>
    <x:t xml:space="preserve">시군비</x:t>
  </x:si>
  <x:si>
    <x:t xml:space="preserve">자부담</x:t>
  </x:si>
  <x:si>
    <x:t xml:space="preserve">1개소</x:t>
  </x:si>
  <x:si>
    <x:t xml:space="preserve">익산시</x:t>
  </x:si>
  <x:si>
    <x:t xml:space="preserve">소계</x:t>
  </x:si>
  <x:si>
    <x:t xml:space="preserve">흑미전용 도정 및 저장시설 지원</x:t>
  </x:si>
  <x:si>
    <x:t xml:space="preserve">-</x:t>
  </x:si>
</x:sst>
</file>

<file path=xl/styles.xml><?xml version="1.0" encoding="utf-8"?>
<x:styleSheet xmlns:x="http://schemas.openxmlformats.org/spreadsheetml/2006/main">
  <x:numFmts count="8">
    <x:numFmt numFmtId="41" formatCode="_-* #,##0_-;\-* #,##0_-;_-* &quot;-&quot;_-;_-@_-"/>
    <x:numFmt numFmtId="176" formatCode="#,##0_);[Red]\(#,##0\)"/>
    <x:numFmt numFmtId="177" formatCode="#,##0_ "/>
    <x:numFmt numFmtId="178" formatCode="_-* #,##0.000_-;\-* #,##0.000_-;_-* &quot;-&quot;_-;_-@_-"/>
    <x:numFmt numFmtId="179" formatCode="0_);[Red]\(0\)"/>
    <x:numFmt numFmtId="200" formatCode="#,##0"/>
    <x:numFmt numFmtId="201" formatCode="hh:mm"/>
    <x:numFmt numFmtId="202" formatCode="yyyy-mm-dd"/>
  </x:numFmts>
  <x:fonts count="48">
    <x:font>
      <x:sz val="11"/>
      <x:name val="돋움"/>
    </x:font>
    <x:font>
      <x:sz val="11"/>
      <x:color theme="1"/>
      <x:name val="맑은 고딕"/>
    </x:font>
    <x:font>
      <x:sz val="11"/>
      <x:name val="돋움"/>
    </x:font>
    <x:font>
      <x:sz val="10"/>
      <x:color indexed="8"/>
      <x:name val="굴림"/>
    </x:font>
    <x:font>
      <x:sz val="8"/>
      <x:name val="돋움"/>
    </x:font>
    <x:font>
      <x:sz val="10"/>
      <x:name val="굴림"/>
    </x:font>
    <x:font>
      <x:b/>
      <x:sz val="11"/>
      <x:name val="돋움"/>
    </x:font>
    <x:font>
      <x:b/>
      <x:sz val="14"/>
      <x:name val="돋움"/>
    </x:font>
    <x:font>
      <x:b/>
      <x:sz val="25"/>
      <x:color indexed="12"/>
      <x:name val="맑은 고딕"/>
    </x:font>
    <x:font>
      <x:sz val="11"/>
      <x:color indexed="8"/>
      <x:name val="굴림"/>
    </x:font>
    <x:font>
      <x:sz val="11"/>
      <x:name val="굴림"/>
    </x:font>
    <x:font>
      <x:b/>
      <x:sz val="11"/>
      <x:color indexed="8"/>
      <x:name val="맑은 고딕"/>
    </x:font>
    <x:font>
      <x:sz val="9"/>
      <x:color indexed="8"/>
      <x:name val="굴림"/>
    </x:font>
    <x:font>
      <x:b/>
      <x:sz val="11"/>
      <x:name val="굴림"/>
    </x:font>
    <x:font>
      <x:sz val="11"/>
      <x:name val="맑은 고딕"/>
    </x:font>
    <x:font>
      <x:b/>
      <x:sz val="11"/>
      <x:color indexed="8"/>
      <x:name val="굴림"/>
    </x:font>
    <x:font>
      <x:sz val="10"/>
      <x:name val="돋움체"/>
    </x:font>
    <x:font>
      <x:b/>
      <x:sz val="10"/>
      <x:color theme="1"/>
      <x:name val="돋움체"/>
    </x:font>
    <x:font>
      <x:sz val="25"/>
      <x:name val="돋움"/>
    </x:font>
    <x:font>
      <x:sz val="30"/>
      <x:name val="HY헤드라인M"/>
    </x:font>
    <x:font>
      <x:sz val="14"/>
      <x:name val="돋움"/>
    </x:font>
    <x:font>
      <x:b/>
      <x:sz val="14"/>
      <x:color rgb="FF0000FF"/>
      <x:name val="돋움"/>
    </x:font>
    <x:font>
      <x:sz val="14"/>
      <x:color theme="1"/>
      <x:name val="돋움"/>
    </x:font>
    <x:font>
      <x:b/>
      <x:sz val="13"/>
      <x:name val="돋움"/>
    </x:font>
    <x:font>
      <x:b/>
      <x:sz val="14"/>
      <x:color theme="1"/>
      <x:name val="맑은 고딕"/>
    </x:font>
    <x:font>
      <x:sz val="8"/>
      <x:name val="맑은 고딕"/>
    </x:font>
    <x:font>
      <x:sz val="14"/>
      <x:color rgb="FF000000"/>
      <x:name val="돋움"/>
    </x:font>
    <x:font>
      <x:sz val="14"/>
      <x:color theme="1"/>
      <x:name val="맑은 고딕"/>
    </x:font>
    <x:font>
      <x:b/>
      <x:sz val="14"/>
      <x:name val="맑은 고딕"/>
    </x:font>
    <x:font>
      <x:sz val="11"/>
      <x:name val="맑은 고딕"/>
    </x:font>
    <x:font>
      <x:b/>
      <x:sz val="14"/>
      <x:name val="돋움"/>
    </x:font>
    <x:font>
      <x:b/>
      <x:sz val="15"/>
      <x:name val="돋움"/>
    </x:font>
    <x:font>
      <x:b/>
      <x:sz val="15"/>
      <x:name val="돋움"/>
    </x:font>
    <x:font>
      <x:b/>
      <x:sz val="15"/>
      <x:name val="돋움"/>
    </x:font>
    <x:font>
      <x:b/>
      <x:sz val="14"/>
      <x:color rgb="FFFF0000"/>
      <x:name val="돋움"/>
    </x:font>
    <x:font>
      <x:b/>
      <x:sz val="17"/>
      <x:name val="돋움"/>
    </x:font>
    <x:font>
      <x:b/>
      <x:sz val="17"/>
      <x:color rgb="FFFFFF00"/>
      <x:name val="돋움"/>
    </x:font>
    <x:font>
      <x:b/>
      <x:sz val="14"/>
      <x:color rgb="FFFF0000"/>
      <x:name val="돋움"/>
    </x:font>
    <x:font>
      <x:sz val="35"/>
      <x:name val="HY헤드라인M"/>
    </x:font>
    <x:font>
      <x:sz val="35"/>
      <x:name val="돋움"/>
    </x:font>
    <x:font>
      <x:sz val="15"/>
      <x:name val="돋움체"/>
    </x:font>
    <x:font>
      <x:b/>
      <x:sz val="35"/>
      <x:name val="HY헤드라인M"/>
    </x:font>
    <x:font>
      <x:b/>
      <x:sz val="30"/>
      <x:name val="HY헤드라인M"/>
    </x:font>
    <x:font>
      <x:sz val="12"/>
      <x:name val="맑은 고딕"/>
    </x:font>
    <x:font>
      <x:b/>
      <x:sz val="14"/>
      <x:name val="돋움"/>
    </x:font>
    <x:font>
      <x:b/>
      <x:sz val="11"/>
      <x:color rgb="FFFFFFFF"/>
      <x:name val="돋움"/>
    </x:font>
    <x:font>
      <x:b/>
      <x:sz val="11"/>
      <x:color rgb="FF1F1F1F"/>
      <x:name val="돋움"/>
    </x:font>
    <x:font>
      <x:i/>
      <x:sz val="11"/>
      <x:color rgb="FF5B6573"/>
      <x:name val="돋움"/>
    </x:font>
  </x:fonts>
  <x:fills count="23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theme="8" tint="0.59999"/>
      </x:patternFill>
    </x:fill>
    <x:fill>
      <x:patternFill patternType="solid">
        <x:fgColor theme="9" tint="0.59999"/>
      </x:patternFill>
    </x:fill>
    <x:fill>
      <x:patternFill patternType="solid">
        <x:fgColor rgb="FFFFFF66"/>
      </x:patternFill>
    </x:fill>
    <x:fill>
      <x:patternFill patternType="solid">
        <x:fgColor theme="3" tint="0.79998"/>
      </x:patternFill>
    </x:fill>
    <x:fill>
      <x:patternFill patternType="solid">
        <x:fgColor rgb="FFFFCCFF"/>
      </x:patternFill>
    </x:fill>
    <x:fill>
      <x:patternFill patternType="solid">
        <x:fgColor theme="6" tint="0.39998"/>
      </x:patternFill>
    </x:fill>
    <x:fill>
      <x:patternFill patternType="solid">
        <x:fgColor theme="1"/>
      </x:patternFill>
    </x:fill>
    <x:fill>
      <x:patternFill patternType="solid">
        <x:fgColor theme="4" tint="0.79998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8FBFF"/>
      </x:patternFill>
    </x:fill>
    <x:fill>
      <x:patternFill patternType="solid">
        <x:fgColor rgb="FF5B9BD5"/>
      </x:patternFill>
    </x:fill>
    <x:fill>
      <x:patternFill patternType="solid">
        <x:fgColor rgb="FF4472C4"/>
      </x:patternFill>
    </x:fill>
    <x:fill>
      <x:patternFill patternType="solid">
        <x:fgColor rgb="FF70AD47"/>
      </x:patternFill>
    </x:fill>
    <x:fill>
      <x:patternFill patternType="solid">
        <x:fgColor rgb="FFED7D31"/>
      </x:patternFill>
    </x:fill>
    <x:fill>
      <x:patternFill patternType="solid">
        <x:fgColor rgb="FFD9EAF7"/>
      </x:patternFill>
    </x:fill>
    <x:fill>
      <x:patternFill patternType="solid">
        <x:fgColor rgb="FFD9E2F3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4F7FC"/>
      </x:patternFill>
    </x:fill>
  </x:fills>
  <x:borders count="53">
    <x:border/>
    <x:border>
      <x:left style="hair">
        <x:color indexed="64"/>
      </x:left>
      <x:right style="hair">
        <x:color indexed="64"/>
      </x:right>
      <x:top style="medium">
        <x:color indexed="64"/>
      </x:top>
      <x:bottom style="hair">
        <x:color indexed="64"/>
      </x:bottom>
    </x:border>
    <x:border>
      <x:left style="hair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</x:border>
    <x:border>
      <x:left style="hair">
        <x:color indexed="64"/>
      </x:left>
      <x:right style="hair">
        <x:color indexed="64"/>
      </x:right>
      <x:top style="hair">
        <x:color indexed="64"/>
      </x:top>
      <x:bottom style="medium">
        <x:color indexed="64"/>
      </x:bottom>
    </x:border>
    <x:border>
      <x:left style="hair">
        <x:color indexed="64"/>
      </x:left>
      <x:right style="hair">
        <x:color indexed="64"/>
      </x:right>
      <x:bottom style="hair">
        <x:color indexed="64"/>
      </x:bottom>
    </x:border>
    <x:border>
      <x:left style="medium">
        <x:color indexed="64"/>
      </x:left>
      <x:right style="hair">
        <x:color indexed="64"/>
      </x:right>
    </x:border>
    <x:border>
      <x:left style="hair">
        <x:color indexed="64"/>
      </x:left>
      <x:right style="hair">
        <x:color indexed="64"/>
      </x:right>
      <x:top style="hair">
        <x:color indexed="64"/>
      </x:top>
    </x:border>
    <x:border>
      <x:left style="medium">
        <x:color indexed="64"/>
      </x:left>
      <x:right style="hair">
        <x:color indexed="64"/>
      </x:right>
      <x:top style="medium">
        <x:color indexed="64"/>
      </x:top>
    </x:border>
    <x:border>
      <x:left style="medium">
        <x:color indexed="64"/>
      </x:left>
      <x:right style="hair">
        <x:color indexed="64"/>
      </x:right>
      <x:bottom style="medium">
        <x:color indexed="64"/>
      </x:bottom>
    </x:border>
    <x:border>
      <x:left style="hair">
        <x:color indexed="64"/>
      </x:left>
      <x:top style="medium">
        <x:color indexed="64"/>
      </x:top>
      <x:bottom style="hair">
        <x:color indexed="64"/>
      </x:bottom>
    </x:border>
    <x:border>
      <x:left style="hair">
        <x:color indexed="64"/>
      </x:left>
      <x:bottom style="hair">
        <x:color indexed="64"/>
      </x:bottom>
    </x:border>
    <x:border>
      <x:left style="hair">
        <x:color indexed="64"/>
      </x:left>
      <x:top style="hair">
        <x:color indexed="64"/>
      </x:top>
      <x:bottom style="hair">
        <x:color indexed="64"/>
      </x:bottom>
    </x:border>
    <x:border>
      <x:left style="hair">
        <x:color indexed="64"/>
      </x:left>
      <x:top style="hair">
        <x:color indexed="64"/>
      </x:top>
    </x:border>
    <x:border>
      <x:left style="hair">
        <x:color indexed="64"/>
      </x:left>
      <x:top style="hair">
        <x:color indexed="64"/>
      </x:top>
      <x:bottom style="medium">
        <x:color indexed="64"/>
      </x:bottom>
    </x:border>
    <x:border>
      <x:right style="hair">
        <x:color indexed="64"/>
      </x:right>
      <x:top style="medium">
        <x:color indexed="64"/>
      </x:top>
      <x:bottom style="hair">
        <x:color indexed="64"/>
      </x:bottom>
    </x:border>
    <x:border>
      <x:right style="hair">
        <x:color indexed="64"/>
      </x:right>
      <x:bottom style="hair">
        <x:color indexed="64"/>
      </x:bottom>
    </x:border>
    <x:border>
      <x:right style="hair">
        <x:color indexed="64"/>
      </x:right>
      <x:top style="hair">
        <x:color indexed="64"/>
      </x:top>
      <x:bottom style="hair">
        <x:color indexed="64"/>
      </x:bottom>
    </x:border>
    <x:border>
      <x:right style="hair">
        <x:color indexed="64"/>
      </x:right>
      <x:top style="hair">
        <x:color indexed="64"/>
      </x:top>
    </x:border>
    <x:border>
      <x:right style="hair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indexed="64"/>
      </x:left>
      <x:right style="hair">
        <x:color indexed="64"/>
      </x:right>
      <x:top style="medium">
        <x:color indexed="64"/>
      </x:top>
      <x:bottom style="hair">
        <x:color indexed="64"/>
      </x:bottom>
    </x:border>
    <x:border>
      <x:left style="hair">
        <x:color indexed="64"/>
      </x:left>
      <x:right style="thin">
        <x:color indexed="64"/>
      </x:right>
      <x:top style="medium">
        <x:color indexed="64"/>
      </x:top>
      <x:bottom style="hair">
        <x:color indexed="64"/>
      </x:bottom>
    </x:border>
    <x:border>
      <x:left style="thin">
        <x:color indexed="64"/>
      </x:left>
      <x:right style="hair">
        <x:color indexed="64"/>
      </x:right>
      <x:bottom style="hair">
        <x:color indexed="64"/>
      </x:bottom>
    </x:border>
    <x:border>
      <x:left style="hair">
        <x:color indexed="64"/>
      </x:left>
      <x:right style="thin">
        <x:color indexed="64"/>
      </x:right>
      <x:bottom style="hair">
        <x:color indexed="64"/>
      </x:bottom>
    </x:border>
    <x:border>
      <x:left style="thin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</x:border>
    <x:border>
      <x:left style="hair">
        <x:color indexed="64"/>
      </x:left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hair">
        <x:color indexed="64"/>
      </x:right>
      <x:top style="hair">
        <x:color indexed="64"/>
      </x:top>
    </x:border>
    <x:border>
      <x:left style="hair">
        <x:color indexed="64"/>
      </x:left>
      <x:right style="thin">
        <x:color indexed="64"/>
      </x:right>
      <x:top style="hair">
        <x:color indexed="64"/>
      </x:top>
    </x:border>
    <x:border>
      <x:left style="thin">
        <x:color indexed="64"/>
      </x:left>
      <x:right style="hair">
        <x:color indexed="64"/>
      </x:right>
      <x:top style="hair">
        <x:color indexed="64"/>
      </x:top>
      <x:bottom style="medium">
        <x:color indexed="64"/>
      </x:bottom>
    </x:border>
    <x:border>
      <x:left style="hair">
        <x:color indexed="64"/>
      </x:left>
      <x:right style="thin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double">
        <x:color rgb="FF0000FF"/>
      </x:left>
      <x:right style="hair">
        <x:color indexed="64"/>
      </x:right>
      <x:top style="double">
        <x:color rgb="FF0000FF"/>
      </x:top>
      <x:bottom style="double">
        <x:color rgb="FF0000FF"/>
      </x:bottom>
    </x:border>
    <x:border>
      <x:left style="hair">
        <x:color indexed="64"/>
      </x:left>
      <x:right style="hair">
        <x:color indexed="64"/>
      </x:right>
      <x:top style="double">
        <x:color rgb="FF0000FF"/>
      </x:top>
      <x:bottom style="double">
        <x:color rgb="FF0000FF"/>
      </x:bottom>
    </x:border>
    <x:border>
      <x:left style="hair">
        <x:color indexed="64"/>
      </x:left>
      <x:top style="double">
        <x:color rgb="FF0000FF"/>
      </x:top>
      <x:bottom style="double">
        <x:color rgb="FF0000FF"/>
      </x:bottom>
    </x:border>
    <x:border>
      <x:left style="thin">
        <x:color indexed="64"/>
      </x:left>
      <x:right style="hair">
        <x:color indexed="64"/>
      </x:right>
      <x:top style="double">
        <x:color rgb="FF0000FF"/>
      </x:top>
      <x:bottom style="double">
        <x:color rgb="FF0000FF"/>
      </x:bottom>
    </x:border>
    <x:border>
      <x:left style="hair">
        <x:color indexed="64"/>
      </x:left>
      <x:right style="thin">
        <x:color indexed="64"/>
      </x:right>
      <x:top style="double">
        <x:color rgb="FF0000FF"/>
      </x:top>
      <x:bottom style="double">
        <x:color rgb="FF0000FF"/>
      </x:bottom>
    </x:border>
    <x:border>
      <x:right style="hair">
        <x:color indexed="64"/>
      </x:right>
      <x:top style="double">
        <x:color rgb="FF0000FF"/>
      </x:top>
      <x:bottom style="double">
        <x:color rgb="FF0000FF"/>
      </x:bottom>
    </x:border>
    <x:border>
      <x:left style="thin">
        <x:color indexed="64"/>
      </x:left>
      <x:right style="double">
        <x:color rgb="FF0000FF"/>
      </x:right>
      <x:top style="double">
        <x:color rgb="FF0000FF"/>
      </x:top>
      <x:bottom style="double">
        <x:color rgb="FF0000FF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</x:border>
    <x:border>
      <x:left style="thin">
        <x:color indexed="64"/>
      </x:left>
      <x:right style="medium">
        <x:color indexed="64"/>
      </x:right>
      <x:bottom style="double">
        <x:color indexed="64"/>
      </x:bottom>
    </x:border>
    <x:border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5">
    <x:xf numFmtId="0" fontId="0" fillId="0" borderId="0">
      <x:alignment vertical="center"/>
    </x:xf>
    <x:xf numFmtId="9" fontId="2" fillId="0" borderId="0" applyFont="0" applyFill="0" applyBorder="0" applyAlignment="0" applyProtection="0">
      <x:alignment vertical="center"/>
    </x:xf>
    <x:xf numFmtId="41" fontId="2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" fillId="0" borderId="0">
      <x:alignment vertical="center"/>
    </x:xf>
  </x:cellStyleXfs>
  <x:cellXfs count="297">
    <x:xf numFmtId="0" fontId="0" fillId="0" borderId="0" xfId="0">
      <x:alignment vertical="center"/>
    </x:xf>
    <x:xf numFmtId="0" fontId="6" fillId="0" borderId="0" xfId="0" applyFont="1" applyBorder="1" applyAlignment="1">
      <x:alignment vertical="center"/>
    </x:xf>
    <x:xf numFmtId="0" fontId="0" fillId="0" borderId="0" xfId="0" applyFont="1">
      <x:alignment vertical="center"/>
    </x:xf>
    <x:xf numFmtId="0" fontId="7" fillId="0" borderId="0" xfId="0" applyFont="1" applyBorder="1" applyAlignment="1">
      <x:alignment vertical="center"/>
    </x:xf>
    <x:xf numFmtId="177" fontId="11" fillId="0" borderId="4" xfId="2" applyNumberFormat="1" applyFont="1" applyFill="1" applyBorder="1" applyAlignment="1">
      <x:alignment horizontal="right" vertical="center"/>
    </x:xf>
    <x:xf numFmtId="177" fontId="10" fillId="0" borderId="2" xfId="2" applyNumberFormat="1" applyFont="1" applyFill="1" applyBorder="1" applyAlignment="1">
      <x:alignment horizontal="right" vertical="center"/>
    </x:xf>
    <x:xf numFmtId="176" fontId="9" fillId="0" borderId="2" xfId="0" applyNumberFormat="1" applyFont="1" applyFill="1" applyBorder="1" applyAlignment="1">
      <x:alignment horizontal="center" vertical="center" wrapText="1"/>
    </x:xf>
    <x:xf numFmtId="177" fontId="9" fillId="0" borderId="2" xfId="2" applyNumberFormat="1" applyFont="1" applyFill="1" applyBorder="1" applyAlignment="1">
      <x:alignment horizontal="right" vertical="center"/>
    </x:xf>
    <x:xf numFmtId="176" fontId="9" fillId="0" borderId="3" xfId="0" applyNumberFormat="1" applyFont="1" applyFill="1" applyBorder="1" applyAlignment="1">
      <x:alignment horizontal="center" vertical="center" wrapText="1"/>
    </x:xf>
    <x:xf numFmtId="177" fontId="9" fillId="0" borderId="3" xfId="2" applyNumberFormat="1" applyFont="1" applyFill="1" applyBorder="1" applyAlignment="1">
      <x:alignment horizontal="right" vertical="center"/>
    </x:xf>
    <x:xf numFmtId="0" fontId="9" fillId="0" borderId="6" xfId="0" applyFont="1" applyFill="1" applyBorder="1" applyAlignment="1">
      <x:alignment horizontal="center" vertical="center" wrapText="1"/>
    </x:xf>
    <x:xf numFmtId="0" fontId="11" fillId="0" borderId="4" xfId="0" applyFont="1" applyFill="1" applyBorder="1" applyAlignment="1">
      <x:alignment horizontal="center" vertical="center" wrapText="1"/>
    </x:xf>
    <x:xf numFmtId="176" fontId="11" fillId="0" borderId="4" xfId="2" applyNumberFormat="1" applyFont="1" applyFill="1" applyBorder="1" applyAlignment="1">
      <x:alignment horizontal="center" vertical="center"/>
    </x:xf>
    <x:xf numFmtId="9" fontId="9" fillId="0" borderId="11" xfId="1" applyFont="1" applyFill="1" applyBorder="1" applyAlignment="1">
      <x:alignment horizontal="center" vertical="center" wrapText="1"/>
    </x:xf>
    <x:xf numFmtId="9" fontId="9" fillId="0" borderId="13" xfId="1" applyFont="1" applyFill="1" applyBorder="1" applyAlignment="1">
      <x:alignment horizontal="center" vertical="center" wrapText="1"/>
    </x:xf>
    <x:xf numFmtId="9" fontId="11" fillId="0" borderId="10" xfId="1" applyFont="1" applyFill="1" applyBorder="1" applyAlignment="1">
      <x:alignment horizontal="center" vertical="center"/>
    </x:xf>
    <x:xf numFmtId="177" fontId="9" fillId="0" borderId="16" xfId="2" applyNumberFormat="1" applyFont="1" applyFill="1" applyBorder="1" applyAlignment="1">
      <x:alignment horizontal="right" vertical="center"/>
    </x:xf>
    <x:xf numFmtId="177" fontId="9" fillId="0" borderId="18" xfId="2" applyNumberFormat="1" applyFont="1" applyFill="1" applyBorder="1" applyAlignment="1">
      <x:alignment horizontal="right" vertical="center"/>
    </x:xf>
    <x:xf numFmtId="177" fontId="11" fillId="0" borderId="15" xfId="2" applyNumberFormat="1" applyFont="1" applyFill="1" applyBorder="1" applyAlignment="1">
      <x:alignment horizontal="right" vertical="center"/>
    </x:xf>
    <x:xf numFmtId="177" fontId="9" fillId="0" borderId="23" xfId="2" applyNumberFormat="1" applyFont="1" applyFill="1" applyBorder="1" applyAlignment="1">
      <x:alignment horizontal="right" vertical="center"/>
    </x:xf>
    <x:xf numFmtId="177" fontId="9" fillId="0" borderId="24" xfId="2" applyNumberFormat="1" applyFont="1" applyFill="1" applyBorder="1" applyAlignment="1">
      <x:alignment horizontal="right" vertical="center"/>
    </x:xf>
    <x:xf numFmtId="177" fontId="9" fillId="0" borderId="27" xfId="2" applyNumberFormat="1" applyFont="1" applyFill="1" applyBorder="1" applyAlignment="1">
      <x:alignment horizontal="right" vertical="center"/>
    </x:xf>
    <x:xf numFmtId="177" fontId="9" fillId="0" borderId="28" xfId="2" applyNumberFormat="1" applyFont="1" applyFill="1" applyBorder="1" applyAlignment="1">
      <x:alignment horizontal="right" vertical="center"/>
    </x:xf>
    <x:xf numFmtId="177" fontId="9" fillId="0" borderId="11" xfId="2" applyNumberFormat="1" applyFont="1" applyFill="1" applyBorder="1" applyAlignment="1">
      <x:alignment horizontal="right" vertical="center"/>
    </x:xf>
    <x:xf numFmtId="177" fontId="9" fillId="0" borderId="13" xfId="2" applyNumberFormat="1" applyFont="1" applyFill="1" applyBorder="1" applyAlignment="1">
      <x:alignment horizontal="right" vertical="center"/>
    </x:xf>
    <x:xf numFmtId="177" fontId="11" fillId="0" borderId="10" xfId="2" applyNumberFormat="1" applyFont="1" applyFill="1" applyBorder="1" applyAlignment="1">
      <x:alignment horizontal="right" vertical="center"/>
    </x:xf>
    <x:xf numFmtId="0" fontId="12" fillId="0" borderId="2" xfId="0" applyFont="1" applyFill="1" applyBorder="1" applyAlignment="1">
      <x:alignment horizontal="center" vertical="center" wrapText="1"/>
    </x:xf>
    <x:xf numFmtId="0" fontId="12" fillId="0" borderId="2" xfId="0" applyFont="1" applyFill="1" applyBorder="1" applyAlignment="1">
      <x:alignment horizontal="center" vertical="center"/>
    </x:xf>
    <x:xf numFmtId="0" fontId="12" fillId="0" borderId="3" xfId="0" applyFont="1" applyFill="1" applyBorder="1" applyAlignment="1">
      <x:alignment horizontal="center" vertical="center" wrapText="1"/>
    </x:xf>
    <x:xf numFmtId="0" fontId="9" fillId="0" borderId="12" xfId="0" applyFont="1" applyFill="1" applyBorder="1" applyAlignment="1">
      <x:alignment horizontal="center" vertical="center" wrapText="1"/>
    </x:xf>
    <x:xf numFmtId="0" fontId="9" fillId="0" borderId="25" xfId="0" applyFont="1" applyFill="1" applyBorder="1" applyAlignment="1">
      <x:alignment horizontal="center" vertical="center" wrapText="1"/>
    </x:xf>
    <x:xf numFmtId="0" fontId="9" fillId="0" borderId="26" xfId="0" applyFont="1" applyFill="1" applyBorder="1" applyAlignment="1">
      <x:alignment horizontal="center" vertical="center" wrapText="1"/>
    </x:xf>
    <x:xf numFmtId="0" fontId="9" fillId="0" borderId="17" xfId="0" applyFont="1" applyFill="1" applyBorder="1" applyAlignment="1">
      <x:alignment horizontal="center" vertical="center" wrapText="1"/>
    </x:xf>
    <x:xf numFmtId="0" fontId="10" fillId="0" borderId="6" xfId="0" applyFont="1" applyFill="1" applyBorder="1" applyAlignment="1">
      <x:alignment horizontal="center" vertical="center" wrapText="1"/>
    </x:xf>
    <x:xf numFmtId="177" fontId="11" fillId="2" borderId="32" xfId="2" applyNumberFormat="1" applyFont="1" applyFill="1" applyBorder="1" applyAlignment="1">
      <x:alignment horizontal="right" vertical="center"/>
    </x:xf>
    <x:xf numFmtId="177" fontId="14" fillId="0" borderId="37" xfId="2" applyNumberFormat="1" applyFont="1" applyFill="1" applyBorder="1" applyAlignment="1">
      <x:alignment horizontal="right" vertical="center"/>
    </x:xf>
    <x:xf numFmtId="177" fontId="10" fillId="0" borderId="29" xfId="2" applyNumberFormat="1" applyFont="1" applyFill="1" applyBorder="1" applyAlignment="1">
      <x:alignment horizontal="right" vertical="center"/>
    </x:xf>
    <x:xf numFmtId="177" fontId="10" fillId="0" borderId="30" xfId="2" applyNumberFormat="1" applyFont="1" applyFill="1" applyBorder="1" applyAlignment="1">
      <x:alignment horizontal="right" vertical="center"/>
    </x:xf>
    <x:xf numFmtId="0" fontId="0" fillId="0" borderId="31" xfId="0" applyFill="1" applyBorder="1" applyAlignment="1">
      <x:alignment horizontal="center" vertical="center"/>
    </x:xf>
    <x:xf numFmtId="0" fontId="11" fillId="0" borderId="32" xfId="0" applyFont="1" applyFill="1" applyBorder="1" applyAlignment="1">
      <x:alignment horizontal="center" vertical="center" wrapText="1"/>
    </x:xf>
    <x:xf numFmtId="176" fontId="11" fillId="0" borderId="32" xfId="2" applyNumberFormat="1" applyFont="1" applyFill="1" applyBorder="1" applyAlignment="1">
      <x:alignment horizontal="center" vertical="center"/>
    </x:xf>
    <x:xf numFmtId="9" fontId="11" fillId="0" borderId="33" xfId="1" applyFont="1" applyFill="1" applyBorder="1" applyAlignment="1">
      <x:alignment horizontal="center" vertical="center"/>
    </x:xf>
    <x:xf numFmtId="177" fontId="11" fillId="0" borderId="34" xfId="2" applyNumberFormat="1" applyFont="1" applyFill="1" applyBorder="1" applyAlignment="1">
      <x:alignment horizontal="right" vertical="center"/>
    </x:xf>
    <x:xf numFmtId="177" fontId="11" fillId="0" borderId="32" xfId="2" applyNumberFormat="1" applyFont="1" applyFill="1" applyBorder="1" applyAlignment="1">
      <x:alignment horizontal="right" vertical="center"/>
    </x:xf>
    <x:xf numFmtId="177" fontId="11" fillId="0" borderId="35" xfId="2" applyNumberFormat="1" applyFont="1" applyFill="1" applyBorder="1" applyAlignment="1">
      <x:alignment horizontal="right" vertical="center"/>
    </x:xf>
    <x:xf numFmtId="177" fontId="11" fillId="0" borderId="36" xfId="2" applyNumberFormat="1" applyFont="1" applyFill="1" applyBorder="1" applyAlignment="1">
      <x:alignment horizontal="right" vertical="center"/>
    </x:xf>
    <x:xf numFmtId="0" fontId="13" fillId="2" borderId="6" xfId="0" applyFont="1" applyFill="1" applyBorder="1" applyAlignment="1">
      <x:alignment horizontal="center" vertical="center" wrapText="1"/>
    </x:xf>
    <x:xf numFmtId="177" fontId="15" fillId="2" borderId="2" xfId="2" applyNumberFormat="1" applyFont="1" applyFill="1" applyBorder="1" applyAlignment="1">
      <x:alignment horizontal="right" vertical="center"/>
    </x:xf>
    <x:xf numFmtId="177" fontId="13" fillId="2" borderId="2" xfId="2" applyNumberFormat="1" applyFont="1" applyFill="1" applyBorder="1" applyAlignment="1">
      <x:alignment horizontal="right" vertical="center"/>
    </x:xf>
    <x:xf numFmtId="177" fontId="15" fillId="2" borderId="3" xfId="2" applyNumberFormat="1" applyFont="1" applyFill="1" applyBorder="1" applyAlignment="1">
      <x:alignment horizontal="right" vertical="center"/>
    </x:xf>
    <x:xf numFmtId="177" fontId="10" fillId="0" borderId="24" xfId="2" applyNumberFormat="1" applyFont="1" applyFill="1" applyBorder="1" applyAlignment="1">
      <x:alignment horizontal="right" vertical="center"/>
    </x:xf>
    <x:xf numFmtId="177" fontId="9" fillId="2" borderId="2" xfId="2" applyNumberFormat="1" applyFont="1" applyFill="1" applyBorder="1" applyAlignment="1">
      <x:alignment horizontal="right" vertical="center"/>
    </x:xf>
    <x:xf numFmtId="177" fontId="10" fillId="0" borderId="23" xfId="2" applyNumberFormat="1" applyFont="1" applyFill="1" applyBorder="1" applyAlignment="1">
      <x:alignment horizontal="right" vertical="center"/>
    </x:xf>
    <x:xf numFmtId="177" fontId="10" fillId="2" borderId="2" xfId="2" applyNumberFormat="1" applyFont="1" applyFill="1" applyBorder="1" applyAlignment="1">
      <x:alignment horizontal="right" vertical="center"/>
    </x:xf>
    <x:xf numFmtId="177" fontId="9" fillId="2" borderId="3" xfId="2" applyNumberFormat="1" applyFont="1" applyFill="1" applyBorder="1" applyAlignment="1">
      <x:alignment horizontal="right" vertical="center"/>
    </x:xf>
    <x:xf numFmtId="0" fontId="9" fillId="0" borderId="6" xfId="0" applyFont="1" applyFill="1" applyBorder="1" applyAlignment="1">
      <x:alignment horizontal="center" vertical="center" wrapText="1"/>
    </x:xf>
    <x:xf numFmtId="177" fontId="9" fillId="0" borderId="21" xfId="2" applyNumberFormat="1" applyFont="1" applyFill="1" applyBorder="1" applyAlignment="1">
      <x:alignment horizontal="right" vertical="center"/>
    </x:xf>
    <x:xf numFmtId="177" fontId="9" fillId="0" borderId="4" xfId="2" applyNumberFormat="1" applyFont="1" applyFill="1" applyBorder="1" applyAlignment="1">
      <x:alignment horizontal="right" vertical="center"/>
    </x:xf>
    <x:xf numFmtId="177" fontId="9" fillId="0" borderId="22" xfId="2" applyNumberFormat="1" applyFont="1" applyFill="1" applyBorder="1" applyAlignment="1">
      <x:alignment horizontal="right" vertical="center"/>
    </x:xf>
    <x:xf numFmtId="177" fontId="9" fillId="0" borderId="15" xfId="2" applyNumberFormat="1" applyFont="1" applyFill="1" applyBorder="1" applyAlignment="1">
      <x:alignment horizontal="right" vertical="center"/>
    </x:xf>
    <x:xf numFmtId="177" fontId="9" fillId="0" borderId="10" xfId="2" applyNumberFormat="1" applyFont="1" applyFill="1" applyBorder="1" applyAlignment="1">
      <x:alignment horizontal="right" vertical="center"/>
    </x:xf>
    <x:xf numFmtId="177" fontId="13" fillId="2" borderId="4" xfId="2" applyNumberFormat="1" applyFont="1" applyFill="1" applyBorder="1" applyAlignment="1">
      <x:alignment horizontal="right" vertical="center"/>
    </x:xf>
    <x:xf numFmtId="177" fontId="10" fillId="0" borderId="4" xfId="2" applyNumberFormat="1" applyFont="1" applyFill="1" applyBorder="1" applyAlignment="1">
      <x:alignment horizontal="right" vertical="center"/>
    </x:xf>
    <x:xf numFmtId="177" fontId="10" fillId="0" borderId="22" xfId="2" applyNumberFormat="1" applyFont="1" applyFill="1" applyBorder="1" applyAlignment="1">
      <x:alignment horizontal="right" vertical="center"/>
    </x:xf>
    <x:xf numFmtId="177" fontId="3" fillId="0" borderId="23" xfId="2" applyNumberFormat="1" applyFont="1" applyFill="1" applyBorder="1" applyAlignment="1">
      <x:alignment horizontal="right" vertical="center"/>
    </x:xf>
    <x:xf numFmtId="177" fontId="3" fillId="0" borderId="2" xfId="2" applyNumberFormat="1" applyFont="1" applyFill="1" applyBorder="1" applyAlignment="1">
      <x:alignment horizontal="right" vertical="center"/>
    </x:xf>
    <x:xf numFmtId="177" fontId="3" fillId="0" borderId="24" xfId="2" applyNumberFormat="1" applyFont="1" applyFill="1" applyBorder="1" applyAlignment="1">
      <x:alignment horizontal="right" vertical="center"/>
    </x:xf>
    <x:xf numFmtId="177" fontId="3" fillId="2" borderId="2" xfId="2" applyNumberFormat="1" applyFont="1" applyFill="1" applyBorder="1" applyAlignment="1">
      <x:alignment horizontal="right" vertical="center"/>
    </x:xf>
    <x:xf numFmtId="178" fontId="0" fillId="0" borderId="0" xfId="2" applyNumberFormat="1" applyFont="1">
      <x:alignment vertical="center"/>
    </x:xf>
    <x:xf numFmtId="178" fontId="16" fillId="0" borderId="0" xfId="2" applyNumberFormat="1" applyFont="1">
      <x:alignment vertical="center"/>
    </x:xf>
    <x:xf numFmtId="178" fontId="18" fillId="0" borderId="0" xfId="2" applyNumberFormat="1" applyFont="1">
      <x:alignment vertical="center"/>
    </x:xf>
    <x:xf numFmtId="178" fontId="6" fillId="0" borderId="0" xfId="2" applyNumberFormat="1" applyFont="1" applyFill="1" applyAlignment="1">
      <x:alignment horizontal="center" vertical="center"/>
    </x:xf>
    <x:xf numFmtId="178" fontId="2" fillId="0" borderId="0" xfId="2" applyNumberFormat="1" applyFont="1" applyFill="1" applyAlignment="1">
      <x:alignment horizontal="center" vertical="center"/>
    </x:xf>
    <x:xf numFmtId="0" fontId="20" fillId="0" borderId="41" xfId="2" applyNumberFormat="1" applyFont="1" applyFill="1" applyBorder="1" applyAlignment="1">
      <x:alignment horizontal="center" vertical="center" wrapText="1"/>
    </x:xf>
    <x:xf numFmtId="20" fontId="20" fillId="0" borderId="41" xfId="2" applyNumberFormat="1" applyFont="1" applyFill="1" applyBorder="1" applyAlignment="1">
      <x:alignment horizontal="center" vertical="center" wrapText="1"/>
    </x:xf>
    <x:xf numFmtId="0" fontId="21" fillId="4" borderId="41" xfId="2" applyNumberFormat="1" applyFont="1" applyFill="1" applyBorder="1" applyAlignment="1">
      <x:alignment horizontal="center" vertical="center" wrapText="1"/>
    </x:xf>
    <x:xf numFmtId="0" fontId="20" fillId="0" borderId="41" xfId="2" applyNumberFormat="1" applyFont="1" applyFill="1" applyBorder="1" applyAlignment="1">
      <x:alignment horizontal="center" vertical="center"/>
    </x:xf>
    <x:xf numFmtId="0" fontId="7" fillId="5" borderId="41" xfId="2" applyNumberFormat="1" applyFont="1" applyFill="1" applyBorder="1" applyAlignment="1">
      <x:alignment horizontal="center" vertical="center" wrapText="1"/>
    </x:xf>
    <x:xf numFmtId="0" fontId="7" fillId="0" borderId="41" xfId="2" applyNumberFormat="1" applyFont="1" applyFill="1" applyBorder="1" applyAlignment="1">
      <x:alignment horizontal="center" vertical="center" wrapText="1"/>
    </x:xf>
    <x:xf numFmtId="0" fontId="7" fillId="5" borderId="41" xfId="2" applyNumberFormat="1" applyFont="1" applyFill="1" applyBorder="1" applyAlignment="1">
      <x:alignment horizontal="center" vertical="center" wrapText="1"/>
    </x:xf>
    <x:xf numFmtId="0" fontId="7" fillId="0" borderId="41" xfId="2" applyNumberFormat="1" applyFont="1" applyFill="1" applyBorder="1" applyAlignment="1">
      <x:alignment horizontal="center" vertical="center" wrapText="1"/>
    </x:xf>
    <x:xf numFmtId="0" fontId="7" fillId="0" borderId="41" xfId="2" applyNumberFormat="1" applyFont="1" applyFill="1" applyBorder="1" applyAlignment="1">
      <x:alignment horizontal="center" vertical="center" wrapText="1"/>
    </x:xf>
    <x:xf numFmtId="178" fontId="6" fillId="0" borderId="41" xfId="2" applyNumberFormat="1" applyFont="1" applyFill="1" applyBorder="1" applyAlignment="1">
      <x:alignment horizontal="center" vertical="center"/>
    </x:xf>
    <x:xf numFmtId="178" fontId="2" fillId="0" borderId="41" xfId="2" applyNumberFormat="1" applyFont="1" applyFill="1" applyBorder="1" applyAlignment="1">
      <x:alignment horizontal="center" vertical="center"/>
    </x:xf>
    <x:xf numFmtId="178" fontId="0" fillId="0" borderId="41" xfId="2" applyNumberFormat="1" applyFont="1" applyFill="1" applyBorder="1" applyAlignment="1">
      <x:alignment horizontal="center" vertical="center"/>
    </x:xf>
    <x:xf numFmtId="178" fontId="20" fillId="0" borderId="41" xfId="2" applyNumberFormat="1" applyFont="1" applyFill="1" applyBorder="1" applyAlignment="1">
      <x:alignment horizontal="center" vertical="center"/>
    </x:xf>
    <x:xf numFmtId="178" fontId="0" fillId="0" borderId="41" xfId="2" applyNumberFormat="1" applyFont="1" applyFill="1" applyBorder="1" applyAlignment="1">
      <x:alignment horizontal="center" vertical="center" wrapText="1"/>
    </x:xf>
    <x:xf numFmtId="0" fontId="7" fillId="5" borderId="41" xfId="2" applyNumberFormat="1" applyFont="1" applyFill="1" applyBorder="1" applyAlignment="1">
      <x:alignment horizontal="center" vertical="center" wrapText="1"/>
    </x:xf>
    <x:xf numFmtId="0" fontId="7" fillId="0" borderId="41" xfId="2" applyNumberFormat="1" applyFont="1" applyFill="1" applyBorder="1" applyAlignment="1">
      <x:alignment horizontal="center" vertical="center" wrapText="1"/>
    </x:xf>
    <x:xf numFmtId="0" fontId="7" fillId="5" borderId="41" xfId="2" applyNumberFormat="1" applyFont="1" applyFill="1" applyBorder="1" applyAlignment="1">
      <x:alignment horizontal="center" vertical="center" wrapText="1"/>
    </x:xf>
    <x:xf numFmtId="178" fontId="19" fillId="0" borderId="0" xfId="3" applyNumberFormat="1" applyFont="1" applyAlignment="1">
      <x:alignment vertical="center"/>
    </x:xf>
    <x:xf numFmtId="0" fontId="1" fillId="0" borderId="0" xfId="4">
      <x:alignment vertical="center"/>
    </x:xf>
    <x:xf numFmtId="178" fontId="16" fillId="0" borderId="0" xfId="3" applyNumberFormat="1" applyFont="1">
      <x:alignment vertical="center"/>
    </x:xf>
    <x:xf numFmtId="0" fontId="23" fillId="5" borderId="41" xfId="3" applyNumberFormat="1" applyFont="1" applyFill="1" applyBorder="1" applyAlignment="1">
      <x:alignment horizontal="center" vertical="center" wrapText="1"/>
    </x:xf>
    <x:xf numFmtId="0" fontId="7" fillId="5" borderId="41" xfId="3" applyNumberFormat="1" applyFont="1" applyFill="1" applyBorder="1" applyAlignment="1">
      <x:alignment horizontal="center" vertical="center" wrapText="1"/>
    </x:xf>
    <x:xf numFmtId="0" fontId="7" fillId="0" borderId="41" xfId="3" applyNumberFormat="1" applyFont="1" applyFill="1" applyBorder="1" applyAlignment="1">
      <x:alignment horizontal="center" vertical="center" wrapText="1"/>
    </x:xf>
    <x:xf numFmtId="0" fontId="20" fillId="0" borderId="41" xfId="3" applyNumberFormat="1" applyFont="1" applyFill="1" applyBorder="1" applyAlignment="1">
      <x:alignment horizontal="center" vertical="center" wrapText="1"/>
    </x:xf>
    <x:xf numFmtId="0" fontId="26" fillId="0" borderId="41" xfId="3" applyNumberFormat="1" applyFont="1" applyFill="1" applyBorder="1" applyAlignment="1">
      <x:alignment horizontal="center" vertical="center" wrapText="1"/>
    </x:xf>
    <x:xf numFmtId="20" fontId="26" fillId="0" borderId="41" xfId="3" applyNumberFormat="1" applyFont="1" applyFill="1" applyBorder="1" applyAlignment="1">
      <x:alignment horizontal="center" vertical="center" wrapText="1"/>
    </x:xf>
    <x:xf numFmtId="0" fontId="26" fillId="0" borderId="41" xfId="3" applyNumberFormat="1" applyFont="1" applyFill="1" applyBorder="1" applyAlignment="1">
      <x:alignment horizontal="center" vertical="center"/>
    </x:xf>
    <x:xf numFmtId="0" fontId="27" fillId="0" borderId="41" xfId="4" applyFont="1" applyBorder="1" applyAlignment="1">
      <x:alignment horizontal="center" vertical="center"/>
    </x:xf>
    <x:xf numFmtId="0" fontId="21" fillId="3" borderId="41" xfId="3" applyNumberFormat="1" applyFont="1" applyFill="1" applyBorder="1" applyAlignment="1">
      <x:alignment horizontal="center" vertical="center" wrapText="1"/>
    </x:xf>
    <x:xf numFmtId="20" fontId="20" fillId="0" borderId="41" xfId="3" applyNumberFormat="1" applyFont="1" applyFill="1" applyBorder="1" applyAlignment="1">
      <x:alignment horizontal="center" vertical="center" wrapText="1"/>
    </x:xf>
    <x:xf numFmtId="0" fontId="21" fillId="4" borderId="41" xfId="3" applyNumberFormat="1" applyFont="1" applyFill="1" applyBorder="1" applyAlignment="1">
      <x:alignment horizontal="center" vertical="center" wrapText="1"/>
    </x:xf>
    <x:xf numFmtId="0" fontId="24" fillId="0" borderId="41" xfId="4" applyFont="1" applyBorder="1" applyAlignment="1">
      <x:alignment horizontal="center" vertical="center"/>
    </x:xf>
    <x:xf numFmtId="0" fontId="28" fillId="0" borderId="41" xfId="4" applyFont="1" applyBorder="1" applyAlignment="1">
      <x:alignment horizontal="center" vertical="center"/>
    </x:xf>
    <x:xf numFmtId="0" fontId="24" fillId="0" borderId="0" xfId="4" applyFont="1" applyAlignment="1">
      <x:alignment horizontal="center" vertical="center"/>
    </x:xf>
    <x:xf numFmtId="0" fontId="29" fillId="0" borderId="0" xfId="4" applyFont="1">
      <x:alignment vertical="center"/>
    </x:xf>
    <x:xf numFmtId="0" fontId="30" fillId="5" borderId="41" xfId="2" applyNumberFormat="1" applyFont="1" applyFill="1" applyBorder="1" applyAlignment="1">
      <x:alignment horizontal="center" vertical="center" wrapText="1"/>
    </x:xf>
    <x:xf numFmtId="178" fontId="19" fillId="0" borderId="0" xfId="2" applyNumberFormat="1" applyFont="1" applyAlignment="1">
      <x:alignment horizontal="center" vertical="center"/>
    </x:xf>
    <x:xf numFmtId="0" fontId="7" fillId="5" borderId="41" xfId="2" applyNumberFormat="1" applyFont="1" applyFill="1" applyBorder="1" applyAlignment="1">
      <x:alignment horizontal="center" vertical="center" wrapText="1"/>
    </x:xf>
    <x:xf numFmtId="0" fontId="7" fillId="0" borderId="41" xfId="2" applyNumberFormat="1" applyFont="1" applyFill="1" applyBorder="1" applyAlignment="1">
      <x:alignment horizontal="center" vertical="center" wrapText="1"/>
    </x:xf>
    <x:xf numFmtId="0" fontId="7" fillId="8" borderId="41" xfId="2" applyNumberFormat="1" applyFont="1" applyFill="1" applyBorder="1" applyAlignment="1">
      <x:alignment horizontal="center" vertical="center" wrapText="1"/>
    </x:xf>
    <x:xf numFmtId="41" fontId="7" fillId="0" borderId="41" xfId="2" applyFont="1" applyFill="1" applyBorder="1" applyAlignment="1">
      <x:alignment horizontal="center" vertical="center" wrapText="1"/>
    </x:xf>
    <x:xf numFmtId="41" fontId="7" fillId="7" borderId="41" xfId="2" applyFont="1" applyFill="1" applyBorder="1" applyAlignment="1">
      <x:alignment horizontal="center" vertical="center" wrapText="1"/>
    </x:xf>
    <x:xf numFmtId="41" fontId="20" fillId="0" borderId="41" xfId="2" applyFont="1" applyFill="1" applyBorder="1" applyAlignment="1">
      <x:alignment horizontal="center" vertical="center"/>
    </x:xf>
    <x:xf numFmtId="41" fontId="20" fillId="0" borderId="41" xfId="2" applyFont="1" applyFill="1" applyBorder="1" applyAlignment="1">
      <x:alignment horizontal="center" vertical="center" wrapText="1"/>
    </x:xf>
    <x:xf numFmtId="41" fontId="36" fillId="9" borderId="41" xfId="2" applyFont="1" applyFill="1" applyBorder="1" applyAlignment="1">
      <x:alignment horizontal="center" vertical="center"/>
    </x:xf>
    <x:xf numFmtId="41" fontId="7" fillId="6" borderId="41" xfId="2" applyFont="1" applyFill="1" applyBorder="1" applyAlignment="1">
      <x:alignment horizontal="center" vertical="center" wrapText="1"/>
    </x:xf>
    <x:xf numFmtId="41" fontId="21" fillId="3" borderId="41" xfId="2" applyFont="1" applyFill="1" applyBorder="1" applyAlignment="1">
      <x:alignment horizontal="center" vertical="center" wrapText="1"/>
    </x:xf>
    <x:xf numFmtId="178" fontId="38" fillId="0" borderId="0" xfId="2" applyNumberFormat="1" applyFont="1" applyAlignment="1">
      <x:alignment vertical="center"/>
    </x:xf>
    <x:xf numFmtId="178" fontId="39" fillId="0" borderId="0" xfId="2" applyNumberFormat="1" applyFont="1">
      <x:alignment vertical="center"/>
    </x:xf>
    <x:xf numFmtId="178" fontId="40" fillId="0" borderId="0" xfId="2" applyNumberFormat="1" applyFont="1" applyAlignment="1">
      <x:alignment horizontal="center" vertical="center"/>
    </x:xf>
    <x:xf numFmtId="41" fontId="34" fillId="0" borderId="41" xfId="2" applyFont="1" applyFill="1" applyBorder="1" applyAlignment="1">
      <x:alignment horizontal="center" vertical="center"/>
    </x:xf>
    <x:xf numFmtId="178" fontId="41" fillId="0" borderId="0" xfId="2" applyNumberFormat="1" applyFont="1" applyAlignment="1">
      <x:alignment vertical="center"/>
    </x:xf>
    <x:xf numFmtId="178" fontId="42" fillId="0" borderId="0" xfId="2" applyNumberFormat="1" applyFont="1" applyAlignment="1">
      <x:alignment horizontal="center" vertical="center"/>
    </x:xf>
    <x:xf numFmtId="178" fontId="6" fillId="0" borderId="0" xfId="2" applyNumberFormat="1" applyFont="1">
      <x:alignment vertical="center"/>
    </x:xf>
    <x:xf numFmtId="41" fontId="7" fillId="0" borderId="41" xfId="2" applyFont="1" applyFill="1" applyBorder="1" applyAlignment="1">
      <x:alignment horizontal="center" vertical="center"/>
    </x:xf>
    <x:xf numFmtId="0" fontId="20" fillId="0" borderId="41" xfId="3" applyNumberFormat="1" applyFont="1" applyFill="1" applyBorder="1" applyAlignment="1">
      <x:alignment horizontal="center" vertical="center"/>
    </x:xf>
    <x:xf numFmtId="178" fontId="19" fillId="0" borderId="0" xfId="2" applyNumberFormat="1" applyFont="1" applyAlignment="1">
      <x:alignment horizontal="center" vertical="center"/>
    </x:xf>
    <x:xf numFmtId="0" fontId="7" fillId="5" borderId="41" xfId="2" applyNumberFormat="1" applyFont="1" applyFill="1" applyBorder="1" applyAlignment="1">
      <x:alignment horizontal="center" vertical="center" wrapText="1"/>
    </x:xf>
    <x:xf numFmtId="0" fontId="7" fillId="0" borderId="41" xfId="2" applyNumberFormat="1" applyFont="1" applyFill="1" applyBorder="1" applyAlignment="1">
      <x:alignment horizontal="center" vertical="center" wrapText="1"/>
    </x:xf>
    <x:xf numFmtId="178" fontId="38" fillId="0" borderId="0" xfId="2" applyNumberFormat="1" applyFont="1" applyAlignment="1">
      <x:alignment horizontal="center" vertical="center"/>
    </x:xf>
    <x:xf numFmtId="178" fontId="0" fillId="0" borderId="0" xfId="2" applyNumberFormat="1" applyFont="1" applyAlignment="1">
      <x:alignment horizontal="center" vertical="center"/>
    </x:xf>
    <x:xf numFmtId="0" fontId="7" fillId="0" borderId="41" xfId="2" applyNumberFormat="1" applyFont="1" applyFill="1" applyBorder="1" applyAlignment="1">
      <x:alignment horizontal="center" vertical="center" wrapText="1"/>
    </x:xf>
    <x:xf numFmtId="0" fontId="7" fillId="0" borderId="41" xfId="2" applyNumberFormat="1" applyFont="1" applyFill="1" applyBorder="1" applyAlignment="1">
      <x:alignment horizontal="center" vertical="center" wrapText="1"/>
    </x:xf>
    <x:xf numFmtId="0" fontId="43" fillId="0" borderId="41" xfId="2" applyNumberFormat="1" applyFont="1" applyFill="1" applyBorder="1" applyAlignment="1">
      <x:alignment horizontal="center" vertical="center" wrapText="1"/>
    </x:xf>
    <x:xf numFmtId="178" fontId="20" fillId="0" borderId="0" xfId="2" applyNumberFormat="1" applyFont="1" applyFill="1" applyAlignment="1">
      <x:alignment horizontal="center" vertical="center" wrapText="1"/>
    </x:xf>
    <x:xf numFmtId="41" fontId="44" fillId="0" borderId="41" xfId="2" applyFont="1" applyFill="1" applyBorder="1" applyAlignment="1">
      <x:alignment horizontal="center" vertical="center" wrapText="1"/>
    </x:xf>
    <x:xf numFmtId="0" fontId="43" fillId="0" borderId="41" xfId="2" applyNumberFormat="1" applyFont="1" applyFill="1" applyBorder="1" applyAlignment="1">
      <x:alignment horizontal="center" vertical="center"/>
    </x:xf>
    <x:xf numFmtId="0" fontId="22" fillId="0" borderId="41" xfId="2" applyNumberFormat="1" applyFont="1" applyFill="1" applyBorder="1" applyAlignment="1">
      <x:alignment horizontal="center" vertical="center" wrapText="1"/>
    </x:xf>
    <x:xf numFmtId="178" fontId="0" fillId="0" borderId="41" xfId="2" applyNumberFormat="1" applyFont="1" applyFill="1" applyBorder="1" applyAlignment="1">
      <x:alignment vertical="center" wrapText="1"/>
    </x:xf>
    <x:xf numFmtId="178" fontId="0" fillId="0" borderId="41" xfId="2" applyNumberFormat="1" applyFont="1" applyFill="1" applyBorder="1">
      <x:alignment vertical="center"/>
    </x:xf>
    <x:xf numFmtId="0" fontId="7" fillId="0" borderId="41" xfId="2" applyNumberFormat="1" applyFont="1" applyFill="1" applyBorder="1" applyAlignment="1">
      <x:alignment horizontal="center" vertical="center" wrapText="1"/>
    </x:xf>
    <x:xf numFmtId="41" fontId="31" fillId="0" borderId="41" xfId="2" applyFont="1" applyFill="1" applyBorder="1" applyAlignment="1">
      <x:alignment horizontal="center" vertical="center" wrapText="1"/>
    </x:xf>
    <x:xf numFmtId="20" fontId="22" fillId="0" borderId="41" xfId="0" applyNumberFormat="1" applyFont="1" applyFill="1" applyBorder="1" applyAlignment="1">
      <x:alignment horizontal="center" vertical="center"/>
    </x:xf>
    <x:xf numFmtId="41" fontId="35" fillId="0" borderId="41" xfId="2" applyFont="1" applyFill="1" applyBorder="1" applyAlignment="1">
      <x:alignment horizontal="center" vertical="center"/>
    </x:xf>
    <x:xf numFmtId="41" fontId="33" fillId="0" borderId="41" xfId="2" applyFont="1" applyFill="1" applyBorder="1" applyAlignment="1">
      <x:alignment horizontal="center" vertical="center"/>
    </x:xf>
    <x:xf numFmtId="178" fontId="19" fillId="0" borderId="0" xfId="2" applyNumberFormat="1" applyFont="1" applyAlignment="1">
      <x:alignment horizontal="center" vertical="center"/>
    </x:xf>
    <x:xf numFmtId="0" fontId="7" fillId="5" borderId="41" xfId="2" applyNumberFormat="1" applyFont="1" applyFill="1" applyBorder="1" applyAlignment="1">
      <x:alignment horizontal="center" vertical="center" wrapText="1"/>
    </x:xf>
    <x:xf numFmtId="0" fontId="7" fillId="0" borderId="41" xfId="2" applyNumberFormat="1" applyFont="1" applyFill="1" applyBorder="1" applyAlignment="1">
      <x:alignment horizontal="center" vertical="center" wrapText="1"/>
    </x:xf>
    <x:xf numFmtId="179" fontId="20" fillId="0" borderId="41" xfId="2" applyNumberFormat="1" applyFont="1" applyFill="1" applyBorder="1" applyAlignment="1">
      <x:alignment horizontal="center" vertical="center"/>
    </x:xf>
    <x:xf numFmtId="41" fontId="44" fillId="6" borderId="41" xfId="2" applyFont="1" applyFill="1" applyBorder="1" applyAlignment="1">
      <x:alignment horizontal="center" vertical="center" wrapText="1"/>
    </x:xf>
    <x:xf numFmtId="0" fontId="24" fillId="0" borderId="41" xfId="3" applyNumberFormat="1" applyFont="1" applyBorder="1" applyAlignment="1">
      <x:alignment horizontal="center" vertical="center"/>
    </x:xf>
    <x:xf numFmtId="49" fontId="20" fillId="8" borderId="41" xfId="2" applyNumberFormat="1" applyFont="1" applyFill="1" applyBorder="1" applyAlignment="1">
      <x:alignment horizontal="center" vertical="center"/>
    </x:xf>
    <x:xf numFmtId="0" fontId="20" fillId="8" borderId="41" xfId="2" applyNumberFormat="1" applyFont="1" applyFill="1" applyBorder="1" applyAlignment="1">
      <x:alignment horizontal="center" vertical="center" wrapText="1"/>
    </x:xf>
    <x:xf numFmtId="41" fontId="21" fillId="8" borderId="41" xfId="2" applyFont="1" applyFill="1" applyBorder="1" applyAlignment="1">
      <x:alignment horizontal="center" vertical="center" wrapText="1"/>
    </x:xf>
    <x:xf numFmtId="41" fontId="7" fillId="8" borderId="41" xfId="2" applyFont="1" applyFill="1" applyBorder="1" applyAlignment="1">
      <x:alignment horizontal="center" vertical="center" wrapText="1"/>
    </x:xf>
    <x:xf numFmtId="0" fontId="43" fillId="8" borderId="41" xfId="2" applyNumberFormat="1" applyFont="1" applyFill="1" applyBorder="1" applyAlignment="1">
      <x:alignment horizontal="center" vertical="center"/>
    </x:xf>
    <x:xf numFmtId="20" fontId="20" fillId="8" borderId="41" xfId="2" applyNumberFormat="1" applyFont="1" applyFill="1" applyBorder="1" applyAlignment="1">
      <x:alignment horizontal="center" vertical="center" wrapText="1"/>
    </x:xf>
    <x:xf numFmtId="0" fontId="21" fillId="8" borderId="41" xfId="2" applyNumberFormat="1" applyFont="1" applyFill="1" applyBorder="1" applyAlignment="1">
      <x:alignment horizontal="center" vertical="center" wrapText="1"/>
    </x:xf>
    <x:xf numFmtId="178" fontId="20" fillId="8" borderId="41" xfId="2" applyNumberFormat="1" applyFont="1" applyFill="1" applyBorder="1" applyAlignment="1">
      <x:alignment horizontal="center" vertical="center"/>
    </x:xf>
    <x:xf numFmtId="179" fontId="20" fillId="8" borderId="41" xfId="2" applyNumberFormat="1" applyFont="1" applyFill="1" applyBorder="1" applyAlignment="1">
      <x:alignment horizontal="center" vertical="center"/>
    </x:xf>
    <x:xf numFmtId="41" fontId="44" fillId="8" borderId="41" xfId="2" applyFont="1" applyFill="1" applyBorder="1" applyAlignment="1">
      <x:alignment horizontal="center" vertical="center" wrapText="1"/>
    </x:xf>
    <x:xf numFmtId="41" fontId="34" fillId="8" borderId="41" xfId="2" applyFont="1" applyFill="1" applyBorder="1" applyAlignment="1">
      <x:alignment horizontal="center" vertical="center"/>
    </x:xf>
    <x:xf numFmtId="41" fontId="20" fillId="8" borderId="41" xfId="2" applyFont="1" applyFill="1" applyBorder="1" applyAlignment="1">
      <x:alignment horizontal="center" vertical="center"/>
    </x:xf>
    <x:xf numFmtId="41" fontId="37" fillId="8" borderId="41" xfId="2" applyFont="1" applyFill="1" applyBorder="1" applyAlignment="1">
      <x:alignment horizontal="center" vertical="center"/>
    </x:xf>
    <x:xf numFmtId="41" fontId="35" fillId="8" borderId="41" xfId="2" applyFont="1" applyFill="1" applyBorder="1" applyAlignment="1">
      <x:alignment horizontal="center" vertical="center"/>
    </x:xf>
    <x:xf numFmtId="0" fontId="20" fillId="8" borderId="41" xfId="0" applyFont="1" applyFill="1" applyBorder="1" applyAlignment="1">
      <x:alignment horizontal="center" vertical="center"/>
    </x:xf>
    <x:xf numFmtId="0" fontId="20" fillId="8" borderId="41" xfId="0" applyFont="1" applyFill="1" applyBorder="1" applyAlignment="1">
      <x:alignment horizontal="center" vertical="center" wrapText="1"/>
    </x:xf>
    <x:xf numFmtId="178" fontId="0" fillId="8" borderId="41" xfId="2" applyNumberFormat="1" applyFont="1" applyFill="1" applyBorder="1" applyAlignment="1">
      <x:alignment horizontal="center" vertical="center"/>
    </x:xf>
    <x:xf numFmtId="178" fontId="0" fillId="8" borderId="41" xfId="2" applyNumberFormat="1" applyFont="1" applyFill="1" applyBorder="1">
      <x:alignment vertical="center"/>
    </x:xf>
    <x:xf numFmtId="0" fontId="20" fillId="8" borderId="41" xfId="3" applyNumberFormat="1" applyFont="1" applyFill="1" applyBorder="1" applyAlignment="1">
      <x:alignment horizontal="center" vertical="center" wrapText="1"/>
    </x:xf>
    <x:xf numFmtId="178" fontId="20" fillId="8" borderId="0" xfId="2" applyNumberFormat="1" applyFont="1" applyFill="1" applyAlignment="1">
      <x:alignment horizontal="center" vertical="center" wrapText="1"/>
    </x:xf>
    <x:xf numFmtId="20" fontId="20" fillId="8" borderId="41" xfId="3" applyNumberFormat="1" applyFont="1" applyFill="1" applyBorder="1" applyAlignment="1">
      <x:alignment horizontal="center" vertical="center" wrapText="1"/>
    </x:xf>
    <x:xf numFmtId="41" fontId="44" fillId="8" borderId="41" xfId="2" applyFont="1" applyFill="1" applyBorder="1" applyAlignment="1">
      <x:alignment horizontal="center" vertical="center"/>
    </x:xf>
    <x:xf numFmtId="0" fontId="22" fillId="8" borderId="41" xfId="2" applyNumberFormat="1" applyFont="1" applyFill="1" applyBorder="1" applyAlignment="1">
      <x:alignment horizontal="center" vertical="center" wrapText="1"/>
    </x:xf>
    <x:xf numFmtId="41" fontId="33" fillId="8" borderId="41" xfId="2" applyFont="1" applyFill="1" applyBorder="1" applyAlignment="1">
      <x:alignment horizontal="center" vertical="center"/>
    </x:xf>
    <x:xf numFmtId="41" fontId="31" fillId="8" borderId="41" xfId="2" applyFont="1" applyFill="1" applyBorder="1" applyAlignment="1">
      <x:alignment horizontal="center" vertical="center" wrapText="1"/>
    </x:xf>
    <x:xf numFmtId="41" fontId="20" fillId="8" borderId="41" xfId="2" applyFont="1" applyFill="1" applyBorder="1" applyAlignment="1">
      <x:alignment horizontal="center" vertical="center" wrapText="1"/>
    </x:xf>
    <x:xf numFmtId="0" fontId="20" fillId="8" borderId="41" xfId="2" applyNumberFormat="1" applyFont="1" applyFill="1" applyBorder="1" applyAlignment="1">
      <x:alignment horizontal="center" vertical="center"/>
    </x:xf>
    <x:xf numFmtId="41" fontId="7" fillId="8" borderId="41" xfId="2" applyFont="1" applyFill="1" applyBorder="1" applyAlignment="1">
      <x:alignment horizontal="center" vertical="center"/>
    </x:xf>
    <x:xf numFmtId="41" fontId="32" fillId="8" borderId="41" xfId="2" applyFont="1" applyFill="1" applyBorder="1" applyAlignment="1">
      <x:alignment horizontal="center" vertical="center" wrapText="1"/>
    </x:xf>
    <x:xf numFmtId="41" fontId="7" fillId="0" borderId="41" xfId="2" applyNumberFormat="1" applyFont="1" applyFill="1" applyBorder="1" applyAlignment="1">
      <x:alignment horizontal="center" vertical="center" wrapText="1"/>
    </x:xf>
    <x:xf numFmtId="41" fontId="7" fillId="7" borderId="41" xfId="2" applyNumberFormat="1" applyFont="1" applyFill="1" applyBorder="1" applyAlignment="1">
      <x:alignment horizontal="center" vertical="center" wrapText="1"/>
    </x:xf>
    <x:xf numFmtId="178" fontId="6" fillId="2" borderId="41" xfId="2" applyNumberFormat="1" applyFont="1" applyFill="1" applyBorder="1" applyAlignment="1">
      <x:alignment horizontal="center" vertical="center"/>
    </x:xf>
    <x:xf numFmtId="0" fontId="7" fillId="5" borderId="42" xfId="2" applyNumberFormat="1" applyFont="1" applyFill="1" applyBorder="1" applyAlignment="1">
      <x:alignment horizontal="center" vertical="center" wrapText="1"/>
    </x:xf>
    <x:xf numFmtId="0" fontId="7" fillId="5" borderId="43" xfId="2" applyNumberFormat="1" applyFont="1" applyFill="1" applyBorder="1" applyAlignment="1">
      <x:alignment horizontal="center" vertical="center" wrapText="1"/>
    </x:xf>
    <x:xf numFmtId="0" fontId="7" fillId="5" borderId="44" xfId="2" applyNumberFormat="1" applyFont="1" applyFill="1" applyBorder="1" applyAlignment="1">
      <x:alignment horizontal="center" vertical="center" wrapText="1"/>
    </x:xf>
    <x:xf numFmtId="178" fontId="19" fillId="0" borderId="0" xfId="2" applyNumberFormat="1" applyFont="1" applyAlignment="1">
      <x:alignment horizontal="center" vertical="center"/>
    </x:xf>
    <x:xf numFmtId="0" fontId="7" fillId="5" borderId="41" xfId="2" applyNumberFormat="1" applyFont="1" applyFill="1" applyBorder="1" applyAlignment="1">
      <x:alignment horizontal="center" vertical="center" wrapText="1"/>
    </x:xf>
    <x:xf numFmtId="0" fontId="7" fillId="0" borderId="41" xfId="2" applyNumberFormat="1" applyFont="1" applyFill="1" applyBorder="1" applyAlignment="1">
      <x:alignment horizontal="center" vertical="center" wrapText="1"/>
    </x:xf>
    <x:xf numFmtId="178" fontId="7" fillId="5" borderId="41" xfId="2" applyNumberFormat="1" applyFont="1" applyFill="1" applyBorder="1" applyAlignment="1">
      <x:alignment horizontal="center" vertical="center"/>
    </x:xf>
    <x:xf numFmtId="0" fontId="17" fillId="0" borderId="0" xfId="0" applyFont="1" applyBorder="1" applyAlignment="1">
      <x:alignment horizontal="left" vertical="center" wrapText="1"/>
    </x:xf>
    <x:xf numFmtId="0" fontId="24" fillId="2" borderId="45" xfId="4" applyFont="1" applyFill="1" applyBorder="1" applyAlignment="1">
      <x:alignment horizontal="center" vertical="center" wrapText="1"/>
    </x:xf>
    <x:xf numFmtId="0" fontId="24" fillId="2" borderId="46" xfId="4" applyFont="1" applyFill="1" applyBorder="1" applyAlignment="1">
      <x:alignment horizontal="center" vertical="center"/>
    </x:xf>
    <x:xf numFmtId="178" fontId="19" fillId="0" borderId="0" xfId="3" applyNumberFormat="1" applyFont="1" applyAlignment="1">
      <x:alignment horizontal="center" vertical="center"/>
    </x:xf>
    <x:xf numFmtId="0" fontId="17" fillId="0" borderId="0" xfId="4" applyFont="1" applyBorder="1" applyAlignment="1">
      <x:alignment horizontal="left" vertical="center" wrapText="1"/>
    </x:xf>
    <x:xf numFmtId="178" fontId="7" fillId="5" borderId="41" xfId="3" applyNumberFormat="1" applyFont="1" applyFill="1" applyBorder="1" applyAlignment="1">
      <x:alignment horizontal="center" vertical="center"/>
    </x:xf>
    <x:xf numFmtId="0" fontId="7" fillId="5" borderId="41" xfId="3" applyNumberFormat="1" applyFont="1" applyFill="1" applyBorder="1" applyAlignment="1">
      <x:alignment horizontal="center" vertical="center" wrapText="1"/>
    </x:xf>
    <x:xf numFmtId="0" fontId="7" fillId="5" borderId="42" xfId="3" applyNumberFormat="1" applyFont="1" applyFill="1" applyBorder="1" applyAlignment="1">
      <x:alignment horizontal="center" vertical="center" wrapText="1"/>
    </x:xf>
    <x:xf numFmtId="0" fontId="7" fillId="5" borderId="43" xfId="3" applyNumberFormat="1" applyFont="1" applyFill="1" applyBorder="1" applyAlignment="1">
      <x:alignment horizontal="center" vertical="center" wrapText="1"/>
    </x:xf>
    <x:xf numFmtId="0" fontId="7" fillId="5" borderId="44" xfId="3" applyNumberFormat="1" applyFont="1" applyFill="1" applyBorder="1" applyAlignment="1">
      <x:alignment horizontal="center" vertical="center" wrapText="1"/>
    </x:xf>
    <x:xf numFmtId="0" fontId="7" fillId="5" borderId="45" xfId="2" applyNumberFormat="1" applyFont="1" applyFill="1" applyBorder="1" applyAlignment="1">
      <x:alignment horizontal="center" vertical="center" wrapText="1"/>
    </x:xf>
    <x:xf numFmtId="0" fontId="7" fillId="5" borderId="46" xfId="2" applyNumberFormat="1" applyFont="1" applyFill="1" applyBorder="1" applyAlignment="1">
      <x:alignment horizontal="center" vertical="center" wrapText="1"/>
    </x:xf>
    <x:xf numFmtId="0" fontId="8" fillId="0" borderId="0" xfId="0" applyFont="1" applyAlignment="1">
      <x:alignment horizontal="center" vertical="center"/>
    </x:xf>
    <x:xf numFmtId="0" fontId="0" fillId="0" borderId="0" xfId="0" applyAlignment="1">
      <x:alignment vertical="center"/>
    </x:xf>
    <x:xf numFmtId="0" fontId="0" fillId="0" borderId="7" xfId="0" applyFont="1" applyFill="1" applyBorder="1" applyAlignment="1">
      <x:alignment horizontal="center" vertical="center" wrapText="1"/>
    </x:xf>
    <x:xf numFmtId="0" fontId="0" fillId="0" borderId="5" xfId="0" applyFont="1" applyFill="1" applyBorder="1" applyAlignment="1">
      <x:alignment horizontal="center" vertical="center"/>
    </x:xf>
    <x:xf numFmtId="0" fontId="0" fillId="0" borderId="5" xfId="0" applyFont="1" applyFill="1" applyBorder="1" applyAlignment="1">
      <x:alignment horizontal="center" vertical="center" wrapText="1"/>
    </x:xf>
    <x:xf numFmtId="0" fontId="0" fillId="0" borderId="8" xfId="0" applyFont="1" applyFill="1" applyBorder="1" applyAlignment="1">
      <x:alignment horizontal="center" vertical="center"/>
    </x:xf>
    <x:xf numFmtId="0" fontId="9" fillId="0" borderId="19" xfId="0" applyFont="1" applyFill="1" applyBorder="1" applyAlignment="1">
      <x:alignment horizontal="center" vertical="center" wrapText="1"/>
    </x:xf>
    <x:xf numFmtId="0" fontId="9" fillId="0" borderId="1" xfId="0" applyFont="1" applyFill="1" applyBorder="1" applyAlignment="1">
      <x:alignment horizontal="center" vertical="center" wrapText="1"/>
    </x:xf>
    <x:xf numFmtId="0" fontId="9" fillId="0" borderId="20" xfId="0" applyFont="1" applyFill="1" applyBorder="1" applyAlignment="1">
      <x:alignment horizontal="center" vertical="center" wrapText="1"/>
    </x:xf>
    <x:xf numFmtId="0" fontId="9" fillId="0" borderId="6" xfId="0" applyFont="1" applyFill="1" applyBorder="1" applyAlignment="1">
      <x:alignment horizontal="center" vertical="center" wrapText="1"/>
    </x:xf>
    <x:xf numFmtId="0" fontId="9" fillId="0" borderId="9" xfId="0" applyFont="1" applyFill="1" applyBorder="1" applyAlignment="1">
      <x:alignment horizontal="center" vertical="center" wrapText="1"/>
    </x:xf>
    <x:xf numFmtId="0" fontId="5" fillId="0" borderId="38" xfId="0" applyFont="1" applyFill="1" applyBorder="1" applyAlignment="1">
      <x:alignment horizontal="center" vertical="center" wrapText="1"/>
    </x:xf>
    <x:xf numFmtId="0" fontId="5" fillId="0" borderId="39" xfId="0" applyFont="1" applyFill="1" applyBorder="1" applyAlignment="1">
      <x:alignment horizontal="center" vertical="center" wrapText="1"/>
    </x:xf>
    <x:xf numFmtId="0" fontId="9" fillId="0" borderId="14" xfId="0" applyFont="1" applyFill="1" applyBorder="1" applyAlignment="1">
      <x:alignment horizontal="center" vertical="center" wrapText="1"/>
    </x:xf>
    <x:xf numFmtId="0" fontId="0" fillId="0" borderId="40" xfId="0" applyFont="1" applyBorder="1" applyAlignment="1">
      <x:alignment horizontal="right" vertical="center"/>
    </x:xf>
    <x:xf numFmtId="0" fontId="3" fillId="0" borderId="19" xfId="0" applyFont="1" applyFill="1" applyBorder="1" applyAlignment="1">
      <x:alignment horizontal="center" vertical="center" wrapText="1"/>
    </x:xf>
    <x:xf numFmtId="0" fontId="3" fillId="0" borderId="1" xfId="0" applyFont="1" applyFill="1" applyBorder="1" applyAlignment="1">
      <x:alignment horizontal="center" vertical="center" wrapText="1"/>
    </x:xf>
    <x:xf numFmtId="0" fontId="3" fillId="0" borderId="20" xfId="0" applyFont="1" applyFill="1" applyBorder="1" applyAlignment="1">
      <x:alignment horizontal="center" vertical="center" wrapText="1"/>
    </x:xf>
    <x:xf numFmtId="0" fontId="20" fillId="10" borderId="41" xfId="2" applyNumberFormat="1" applyFont="1" applyFill="1" applyBorder="1" applyAlignment="1">
      <x:alignment horizontal="center" vertical="center"/>
    </x:xf>
    <x:xf numFmtId="0" fontId="7" fillId="10" borderId="41" xfId="2" applyNumberFormat="1" applyFont="1" applyFill="1" applyBorder="1" applyAlignment="1">
      <x:alignment horizontal="center" vertical="center" wrapText="1"/>
    </x:xf>
    <x:xf numFmtId="0" fontId="20" fillId="10" borderId="41" xfId="2" applyNumberFormat="1" applyFont="1" applyFill="1" applyBorder="1" applyAlignment="1">
      <x:alignment horizontal="center" vertical="center" wrapText="1"/>
    </x:xf>
    <x:xf numFmtId="41" fontId="21" fillId="10" borderId="41" xfId="2" applyFont="1" applyFill="1" applyBorder="1" applyAlignment="1">
      <x:alignment horizontal="center" vertical="center" wrapText="1"/>
    </x:xf>
    <x:xf numFmtId="41" fontId="44" fillId="10" borderId="41" xfId="2" applyFont="1" applyFill="1" applyBorder="1" applyAlignment="1">
      <x:alignment horizontal="center" vertical="center" wrapText="1"/>
    </x:xf>
    <x:xf numFmtId="0" fontId="43" fillId="10" borderId="41" xfId="2" applyNumberFormat="1" applyFont="1" applyFill="1" applyBorder="1" applyAlignment="1">
      <x:alignment horizontal="center" vertical="center"/>
    </x:xf>
    <x:xf numFmtId="20" fontId="20" fillId="10" borderId="41" xfId="2" applyNumberFormat="1" applyFont="1" applyFill="1" applyBorder="1" applyAlignment="1">
      <x:alignment horizontal="center" vertical="center" wrapText="1"/>
    </x:xf>
    <x:xf numFmtId="0" fontId="21" fillId="10" borderId="41" xfId="2" applyNumberFormat="1" applyFont="1" applyFill="1" applyBorder="1" applyAlignment="1">
      <x:alignment horizontal="center" vertical="center" wrapText="1"/>
    </x:xf>
    <x:xf numFmtId="178" fontId="20" fillId="10" borderId="41" xfId="2" applyNumberFormat="1" applyFont="1" applyFill="1" applyBorder="1" applyAlignment="1">
      <x:alignment horizontal="center" vertical="center"/>
    </x:xf>
    <x:xf numFmtId="179" fontId="20" fillId="10" borderId="41" xfId="2" applyNumberFormat="1" applyFont="1" applyFill="1" applyBorder="1" applyAlignment="1">
      <x:alignment horizontal="center" vertical="center"/>
    </x:xf>
    <x:xf numFmtId="41" fontId="20" fillId="10" borderId="41" xfId="2" applyFont="1" applyFill="1" applyBorder="1" applyAlignment="1">
      <x:alignment horizontal="center" vertical="center"/>
    </x:xf>
    <x:xf numFmtId="41" fontId="34" fillId="10" borderId="41" xfId="2" applyFont="1" applyFill="1" applyBorder="1" applyAlignment="1">
      <x:alignment horizontal="center" vertical="center"/>
    </x:xf>
    <x:xf numFmtId="41" fontId="35" fillId="10" borderId="41" xfId="2" applyFont="1" applyFill="1" applyBorder="1" applyAlignment="1">
      <x:alignment horizontal="center" vertical="center"/>
    </x:xf>
    <x:xf numFmtId="178" fontId="0" fillId="10" borderId="41" xfId="2" applyNumberFormat="1" applyFont="1" applyFill="1" applyBorder="1" applyAlignment="1">
      <x:alignment horizontal="center" vertical="center"/>
    </x:xf>
    <x:xf numFmtId="41" fontId="7" fillId="10" borderId="41" xfId="2" applyFont="1" applyFill="1" applyBorder="1" applyAlignment="1">
      <x:alignment horizontal="center" vertical="center"/>
    </x:xf>
    <x:xf numFmtId="41" fontId="31" fillId="10" borderId="41" xfId="2" applyFont="1" applyFill="1" applyBorder="1" applyAlignment="1">
      <x:alignment horizontal="center" vertical="center" wrapText="1"/>
    </x:xf>
    <x:xf numFmtId="41" fontId="20" fillId="10" borderId="41" xfId="2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 applyAlignment="1">
      <x:alignment vertical="center"/>
    </x:xf>
    <x:xf numFmtId="0" fontId="45" fillId="11" borderId="0" xfId="0" applyNumberFormat="1" applyFont="1" applyFill="1" applyBorder="1" applyAlignment="1">
      <x:alignment vertical="center"/>
    </x:xf>
    <x:xf numFmtId="0" fontId="45" fillId="11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 applyAlignment="1">
      <x:alignment vertical="center"/>
    </x:xf>
    <x:xf numFmtId="0" fontId="46" fillId="12" borderId="0" xfId="0" applyNumberFormat="1" applyFont="1" applyFill="1" applyBorder="1" applyAlignment="1">
      <x:alignment vertical="center"/>
    </x:xf>
    <x:xf numFmtId="0" fontId="46" fillId="12" borderId="47" xfId="0" applyNumberFormat="1" applyFont="1" applyFill="1" applyBorder="1" applyAlignment="1">
      <x:alignment vertical="center"/>
    </x:xf>
    <x:xf numFmtId="0" fontId="46" fillId="12" borderId="48" xfId="0" applyNumberFormat="1" applyFont="1" applyFill="1" applyBorder="1" applyAlignment="1">
      <x:alignment vertical="center"/>
    </x:xf>
    <x:xf numFmtId="0" fontId="46" fillId="12" borderId="49" xfId="0" applyNumberFormat="1" applyFont="1" applyFill="1" applyBorder="1" applyAlignment="1">
      <x:alignment vertical="center"/>
    </x:xf>
    <x:xf numFmtId="0" fontId="46" fillId="12" borderId="47" xfId="0" applyNumberFormat="1" applyFont="1" applyFill="1" applyBorder="1" applyAlignment="1">
      <x:alignment horizontal="center" vertical="center"/>
    </x:xf>
    <x:xf numFmtId="0" fontId="46" fillId="12" borderId="48" xfId="0" applyNumberFormat="1" applyFont="1" applyFill="1" applyBorder="1" applyAlignment="1">
      <x:alignment horizontal="center" vertical="center"/>
    </x:xf>
    <x:xf numFmtId="0" fontId="46" fillId="12" borderId="49" xfId="0" applyNumberFormat="1" applyFont="1" applyFill="1" applyBorder="1" applyAlignment="1">
      <x:alignment horizontal="center" vertical="center"/>
    </x:xf>
    <x:xf numFmtId="200" fontId="46" fillId="12" borderId="48" xfId="0" applyNumberFormat="1" applyFont="1" applyFill="1" applyBorder="1" applyAlignment="1">
      <x:alignment horizontal="center" vertical="center"/>
    </x:xf>
    <x:xf numFmtId="200" fontId="46" fillId="12" borderId="49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 applyAlignment="1">
      <x:alignment vertical="center"/>
    </x:xf>
    <x:xf numFmtId="0" fontId="47" fillId="13" borderId="0" xfId="0" applyNumberFormat="1" applyFont="1" applyFill="1" applyBorder="1" applyAlignment="1">
      <x:alignment vertical="center"/>
    </x:xf>
    <x:xf numFmtId="0" fontId="47" fillId="13" borderId="0" xfId="0" applyNumberFormat="1" applyFont="1" applyFill="1" applyBorder="1" applyAlignment="1">
      <x:alignment horizontal="left" vertical="center"/>
    </x:xf>
    <x:xf numFmtId="0" fontId="0" fillId="14" borderId="0" xfId="0" applyNumberFormat="1" applyFont="1" applyFill="1" applyBorder="1" applyAlignment="1">
      <x:alignment vertical="center"/>
    </x:xf>
    <x:xf numFmtId="0" fontId="45" fillId="14" borderId="0" xfId="0" applyNumberFormat="1" applyFont="1" applyFill="1" applyBorder="1" applyAlignment="1">
      <x:alignment vertical="center"/>
    </x:xf>
    <x:xf numFmtId="0" fontId="45" fillId="14" borderId="50" xfId="0" applyNumberFormat="1" applyFont="1" applyFill="1" applyBorder="1" applyAlignment="1">
      <x:alignment vertical="center"/>
    </x:xf>
    <x:xf numFmtId="0" fontId="45" fillId="14" borderId="50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 applyAlignment="1">
      <x:alignment vertical="center"/>
    </x:xf>
    <x:xf numFmtId="0" fontId="45" fillId="15" borderId="0" xfId="0" applyNumberFormat="1" applyFont="1" applyFill="1" applyBorder="1" applyAlignment="1">
      <x:alignment vertical="center"/>
    </x:xf>
    <x:xf numFmtId="0" fontId="45" fillId="15" borderId="50" xfId="0" applyNumberFormat="1" applyFont="1" applyFill="1" applyBorder="1" applyAlignment="1">
      <x:alignment vertical="center"/>
    </x:xf>
    <x:xf numFmtId="0" fontId="45" fillId="15" borderId="50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 applyAlignment="1">
      <x:alignment vertical="center"/>
    </x:xf>
    <x:xf numFmtId="0" fontId="45" fillId="16" borderId="0" xfId="0" applyNumberFormat="1" applyFont="1" applyFill="1" applyBorder="1" applyAlignment="1">
      <x:alignment vertical="center"/>
    </x:xf>
    <x:xf numFmtId="0" fontId="45" fillId="16" borderId="50" xfId="0" applyNumberFormat="1" applyFont="1" applyFill="1" applyBorder="1" applyAlignment="1">
      <x:alignment vertical="center"/>
    </x:xf>
    <x:xf numFmtId="0" fontId="45" fillId="16" borderId="50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 applyAlignment="1">
      <x:alignment vertical="center"/>
    </x:xf>
    <x:xf numFmtId="0" fontId="45" fillId="17" borderId="0" xfId="0" applyNumberFormat="1" applyFont="1" applyFill="1" applyBorder="1" applyAlignment="1">
      <x:alignment vertical="center"/>
    </x:xf>
    <x:xf numFmtId="0" fontId="45" fillId="17" borderId="50" xfId="0" applyNumberFormat="1" applyFont="1" applyFill="1" applyBorder="1" applyAlignment="1">
      <x:alignment vertical="center"/>
    </x:xf>
    <x:xf numFmtId="0" fontId="45" fillId="17" borderId="50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 applyAlignment="1">
      <x:alignment vertical="center"/>
    </x:xf>
    <x:xf numFmtId="0" fontId="46" fillId="18" borderId="0" xfId="0" applyNumberFormat="1" applyFont="1" applyFill="1" applyBorder="1" applyAlignment="1">
      <x:alignment vertical="center"/>
    </x:xf>
    <x:xf numFmtId="0" fontId="46" fillId="18" borderId="51" xfId="0" applyNumberFormat="1" applyFont="1" applyFill="1" applyBorder="1" applyAlignment="1">
      <x:alignment vertical="center"/>
    </x:xf>
    <x:xf numFmtId="0" fontId="46" fillId="18" borderId="51" xfId="0" applyNumberFormat="1" applyFont="1" applyFill="1" applyBorder="1" applyAlignment="1">
      <x:alignment vertical="center" wrapText="1"/>
    </x:xf>
    <x:xf numFmtId="0" fontId="46" fillId="18" borderId="51" xfId="0" applyNumberFormat="1" applyFont="1" applyFill="1" applyBorder="1" applyAlignment="1">
      <x:alignment horizontal="center" vertical="center" wrapText="1"/>
    </x:xf>
    <x:xf numFmtId="0" fontId="46" fillId="19" borderId="51" xfId="0" applyNumberFormat="1" applyFont="1" applyFill="1" applyBorder="1" applyAlignment="1">
      <x:alignment horizontal="center" vertical="center" wrapText="1"/>
    </x:xf>
    <x:xf numFmtId="0" fontId="46" fillId="20" borderId="51" xfId="0" applyNumberFormat="1" applyFont="1" applyFill="1" applyBorder="1" applyAlignment="1">
      <x:alignment horizontal="center" vertical="center" wrapText="1"/>
    </x:xf>
    <x:xf numFmtId="0" fontId="46" fillId="21" borderId="51" xfId="0" applyNumberFormat="1" applyFont="1" applyFill="1" applyBorder="1" applyAlignment="1">
      <x:alignment horizontal="center" vertical="center" wrapText="1"/>
    </x:xf>
    <x:xf numFmtId="0" fontId="0" fillId="0" borderId="50" xfId="0" applyNumberFormat="1" applyFont="1" applyFill="1" applyBorder="1" applyAlignment="1">
      <x:alignment vertical="center"/>
    </x:xf>
    <x:xf numFmtId="0" fontId="0" fillId="0" borderId="50" xfId="0" applyNumberFormat="1" applyFont="1" applyFill="1" applyBorder="1" applyAlignment="1">
      <x:alignment vertical="center" wrapText="1"/>
    </x:xf>
    <x:xf numFmtId="0" fontId="0" fillId="0" borderId="50" xfId="0" applyNumberFormat="1" applyFont="1" applyFill="1" applyBorder="1" applyAlignment="1">
      <x:alignment horizontal="center" vertical="center" wrapText="1"/>
    </x:xf>
    <x:xf numFmtId="0" fontId="0" fillId="0" borderId="50" xfId="0" applyNumberFormat="1" applyFont="1" applyFill="1" applyBorder="1" applyAlignment="1">
      <x:alignment horizontal="right" vertical="center" wrapText="1"/>
    </x:xf>
    <x:xf numFmtId="200" fontId="0" fillId="0" borderId="50" xfId="0" applyNumberFormat="1" applyFont="1" applyFill="1" applyBorder="1" applyAlignment="1">
      <x:alignment horizontal="center" vertical="center" wrapText="1"/>
    </x:xf>
    <x:xf numFmtId="201" fontId="0" fillId="0" borderId="50" xfId="0" applyNumberFormat="1" applyFont="1" applyFill="1" applyBorder="1" applyAlignment="1">
      <x:alignment horizontal="center" vertical="center" wrapText="1"/>
    </x:xf>
    <x:xf numFmtId="200" fontId="0" fillId="0" borderId="50" xfId="0" applyNumberFormat="1" applyFont="1" applyFill="1" applyBorder="1" applyAlignment="1">
      <x:alignment horizontal="right" vertical="center" wrapText="1"/>
    </x:xf>
    <x:xf numFmtId="200" fontId="0" fillId="22" borderId="50" xfId="0" applyNumberFormat="1" applyFont="1" applyFill="1" applyBorder="1" applyAlignment="1">
      <x:alignment horizontal="right" vertical="center" wrapText="1"/>
    </x:xf>
    <x:xf numFmtId="200" fontId="46" fillId="22" borderId="50" xfId="0" applyNumberFormat="1" applyFont="1" applyFill="1" applyBorder="1" applyAlignment="1">
      <x:alignment horizontal="right" vertical="center" wrapText="1"/>
    </x:xf>
    <x:xf numFmtId="0" fontId="45" fillId="11" borderId="52" xfId="0" applyNumberFormat="1" applyFont="1" applyFill="1" applyBorder="1" applyAlignment="1">
      <x:alignment vertical="center"/>
    </x:xf>
    <x:xf numFmtId="200" fontId="45" fillId="11" borderId="52" xfId="0" applyNumberFormat="1" applyFont="1" applyFill="1" applyBorder="1" applyAlignment="1">
      <x:alignment vertical="center"/>
    </x:xf>
    <x:xf numFmtId="0" fontId="0" fillId="0" borderId="50" xfId="0" applyNumberFormat="1" applyFont="1" applyFill="1" applyBorder="1" applyAlignment="1">
      <x:alignment horizontal="center" vertical="center"/>
    </x:xf>
    <x:xf numFmtId="0" fontId="0" fillId="0" borderId="50" xfId="0" applyNumberFormat="1" applyFont="1" applyFill="1" applyBorder="1" applyAlignment="1">
      <x:alignment horizontal="right" vertical="center"/>
    </x:xf>
    <x:xf numFmtId="202" fontId="0" fillId="0" borderId="50" xfId="0" applyNumberFormat="1" applyFont="1" applyFill="1" applyBorder="1" applyAlignment="1">
      <x:alignment horizontal="center" vertical="center"/>
    </x:xf>
    <x:xf numFmtId="200" fontId="0" fillId="0" borderId="50" xfId="0" applyNumberFormat="1" applyFont="1" applyFill="1" applyBorder="1" applyAlignment="1">
      <x:alignment horizontal="right" vertical="center"/>
    </x:xf>
    <x:xf numFmtId="200" fontId="0" fillId="22" borderId="50" xfId="0" applyNumberFormat="1" applyFont="1" applyFill="1" applyBorder="1" applyAlignment="1">
      <x:alignment horizontal="right" vertical="center"/>
    </x:xf>
    <x:xf numFmtId="200" fontId="46" fillId="22" borderId="50" xfId="0" applyNumberFormat="1" applyFont="1" applyFill="1" applyBorder="1" applyAlignment="1">
      <x:alignment horizontal="right" vertical="center"/>
    </x:xf>
  </x:cellXfs>
  <x:cellStyles count="5">
    <x:cellStyle name="백분율" xfId="1"/>
    <x:cellStyle name="쉼표 [0]" xfId="2"/>
    <x:cellStyle name="쉼표 [0] 2" xfId="3"/>
    <x:cellStyle name="표준" xfId="0"/>
    <x:cellStyle name="표준 2" xfId="4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e9f0ffc9d94041" /><Relationship Type="http://schemas.openxmlformats.org/officeDocument/2006/relationships/theme" Target="/xl/theme/theme1.xml" Id="R64dff9e2f9294160" /><Relationship Type="http://schemas.openxmlformats.org/officeDocument/2006/relationships/sharedStrings" Target="/xl/sharedStrings.xml" Id="R549d38a0a6a94441" /><Relationship Type="http://schemas.openxmlformats.org/officeDocument/2006/relationships/worksheet" Target="/xl/worksheets/sheet1.xml" Id="Rb5a93f9139a84834" /><Relationship Type="http://schemas.openxmlformats.org/officeDocument/2006/relationships/worksheet" Target="/xl/worksheets/sheet2.xml" Id="R29d86cb7638249a4" /><Relationship Type="http://schemas.openxmlformats.org/officeDocument/2006/relationships/worksheet" Target="/xl/worksheets/sheet3.xml" Id="R98b896797ea9434f" /><Relationship Type="http://schemas.openxmlformats.org/officeDocument/2006/relationships/worksheet" Target="/xl/worksheets/sheet4.xml" Id="Rab4cbd3560954d44" /><Relationship Type="http://schemas.openxmlformats.org/officeDocument/2006/relationships/worksheet" Target="/xl/worksheets/sheet5.xml" Id="Rc18f10b28dce435c" /><Relationship Type="http://schemas.openxmlformats.org/officeDocument/2006/relationships/worksheet" Target="/xl/worksheets/sheet6.xml" Id="Rc5c5d9d285e94607" /><Relationship Type="http://schemas.openxmlformats.org/officeDocument/2006/relationships/worksheet" Target="/xl/worksheets/sheet7.xml" Id="R9efa3c1420674f58" /></Relationships>
</file>

<file path=xl/tables/table1.xml><?xml version="1.0" encoding="utf-8"?>
<x:table xmlns:x="http://schemas.openxmlformats.org/spreadsheetml/2006/main" id="1" name="LunchboxManagementTable" displayName="LunchboxManagementTable" ref="A6:BB47" headerRowCount="1" totalsRowCount="0" totalsRowShown="0">
  <x:autoFilter ref="A6:BB47"/>
  <x:tableColumns count="54">
    <x:tableColumn id="1" name="순번"/>
    <x:tableColumn id="2" name="구분"/>
    <x:tableColumn id="3" name="기관명"/>
    <x:tableColumn id="4" name="주소"/>
    <x:tableColumn id="5" name="돌봄도시락 담당자"/>
    <x:tableColumn id="6" name="도시락 수령책임자"/>
    <x:tableColumn id="7" name="신청인원"/>
    <x:tableColumn id="8" name="1반"/>
    <x:tableColumn id="9" name="2반"/>
    <x:tableColumn id="10" name="3반"/>
    <x:tableColumn id="11" name="4반"/>
    <x:tableColumn id="12" name="연계형"/>
    <x:tableColumn id="13" name="중식 시작시간"/>
    <x:tableColumn id="14" name="공급기간"/>
    <x:tableColumn id="15" name="방학기간"/>
    <x:tableColumn id="16" name="실제 공급일수"/>
    <x:tableColumn id="17" name="공급방법"/>
    <x:tableColumn id="18" name="보존식 위치"/>
    <x:tableColumn id="19" name="보존식 담당자"/>
    <x:tableColumn id="20" name="비고"/>
    <x:tableColumn id="21" name="7월 공급"/>
    <x:tableColumn id="22" name="8월 공급"/>
    <x:tableColumn id="23" name="총 공급"/>
    <x:tableColumn id="24" name="7.16.(목)"/>
    <x:tableColumn id="25" name="7.20.(월)"/>
    <x:tableColumn id="26" name="7.21.(화)"/>
    <x:tableColumn id="27" name="7.22.(수)"/>
    <x:tableColumn id="28" name="7.23.(목)"/>
    <x:tableColumn id="29" name="7.24.(금)"/>
    <x:tableColumn id="30" name="7.27.(월)"/>
    <x:tableColumn id="31" name="7.28.(화)"/>
    <x:tableColumn id="32" name="7.29.(수)"/>
    <x:tableColumn id="33" name="7.30.(목)"/>
    <x:tableColumn id="34" name="7.31.(금)"/>
    <x:tableColumn id="35" name="8.3(월)"/>
    <x:tableColumn id="36" name="8.4.(화)"/>
    <x:tableColumn id="37" name="8.5.(수)"/>
    <x:tableColumn id="38" name="8.6.(목)"/>
    <x:tableColumn id="39" name="8.7.(금)"/>
    <x:tableColumn id="40" name="8.10.(월)"/>
    <x:tableColumn id="41" name="8.11.(화)"/>
    <x:tableColumn id="42" name="8.12.(수)"/>
    <x:tableColumn id="43" name="8.13.(목)"/>
    <x:tableColumn id="44" name="8.14.(금)"/>
    <x:tableColumn id="45" name="8.18.(화)"/>
    <x:tableColumn id="46" name="8.19.(수)"/>
    <x:tableColumn id="47" name="8.20.(목)"/>
    <x:tableColumn id="48" name="8.21.(금)"/>
    <x:tableColumn id="49" name="8.24.(월)"/>
    <x:tableColumn id="50" name="8.25.(화)"/>
    <x:tableColumn id="51" name="8.26.(수)"/>
    <x:tableColumn id="52" name="8.27.(목)"/>
    <x:tableColumn id="53" name="8.28.(금)"/>
    <x:tableColumn id="54" name="8.31.(월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ilyLunchboxDetailTable" displayName="DailyLunchboxDetailTable" ref="A5:K611" headerRowCount="1" totalsRowCount="0" totalsRowShown="0">
  <x:autoFilter ref="A5:K611"/>
  <x:tableColumns count="11">
    <x:tableColumn id="1" name="순번"/>
    <x:tableColumn id="2" name="구분"/>
    <x:tableColumn id="3" name="기관명"/>
    <x:tableColumn id="4" name="공급일"/>
    <x:tableColumn id="5" name="1반"/>
    <x:tableColumn id="6" name="2반"/>
    <x:tableColumn id="7" name="3반"/>
    <x:tableColumn id="8" name="4반"/>
    <x:tableColumn id="9" name="연계형"/>
    <x:tableColumn id="10" name="당일합계"/>
    <x:tableColumn id="11" name="월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a0a49587b4a945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1961a8632f674fd1" /></Relationships>
</file>

<file path=xl/worksheets/sheet1.xml><?xml version="1.0" encoding="utf-8"?>
<x:worksheet xmlns:x="http://schemas.openxmlformats.org/spreadsheetml/2006/main">
  <x:sheetPr>
    <x:tabColor rgb="FFFF0000"/>
  </x:sheetPr>
  <x:sheetFormatPr defaultColWidth="15" defaultRowHeight="13.5"/>
  <x:cols>
    <x:col min="1" max="1" width="6.44140625" style="68" customWidth="1"/>
    <x:col min="2" max="2" width="16.21875" style="68" customWidth="1"/>
    <x:col min="3" max="3" width="29.109375" style="68" customWidth="1"/>
    <x:col min="4" max="4" width="22.109375" style="68" customWidth="1"/>
    <x:col min="5" max="5" width="21.6640625" style="68" customWidth="1"/>
    <x:col min="6" max="6" width="10.6640625" style="68" customWidth="1"/>
    <x:col min="7" max="7" width="9.77734375" style="68" customWidth="1"/>
    <x:col min="8" max="11" width="7.77734375" style="68" customWidth="1"/>
    <x:col min="12" max="12" width="12.77734375" style="68" customWidth="1"/>
    <x:col min="13" max="13" width="22.6640625" style="68" customWidth="1"/>
    <x:col min="14" max="14" width="21.77734375" style="68" customWidth="1"/>
    <x:col min="15" max="15" width="11.88671875" style="68" customWidth="1"/>
    <x:col min="16" max="16" width="10.5546875" style="68" customWidth="1"/>
    <x:col min="17" max="17" width="10.77734375" style="68" customWidth="1"/>
    <x:col min="18" max="18" width="13.6640625" style="68" customWidth="1"/>
    <x:col min="19" max="19" width="22.88671875" style="68" customWidth="1"/>
    <x:col min="20" max="16384" width="15" style="68" customWidth="0"/>
  </x:cols>
  <x:sheetData>
    <x:row r="1" s="70" customFormat="1" ht="48.75" customHeight="1">
      <x:c r="A1" s="189" t="s">
        <x:v>0</x:v>
      </x:c>
      <x:c r="B1" s="189"/>
      <x:c r="C1" s="189"/>
      <x:c r="D1" s="189"/>
      <x:c r="E1" s="189"/>
      <x:c r="F1" s="189"/>
      <x:c r="G1" s="189"/>
      <x:c r="H1" s="189"/>
      <x:c r="I1" s="189"/>
      <x:c r="J1" s="189"/>
      <x:c r="K1" s="189"/>
      <x:c r="L1" s="189"/>
      <x:c r="M1" s="189"/>
      <x:c r="N1" s="189"/>
      <x:c r="O1" s="189"/>
      <x:c r="P1" s="189"/>
      <x:c r="Q1" s="189"/>
      <x:c r="R1" s="189"/>
    </x:row>
    <x:row r="2" s="69" customFormat="1" ht="8.25" customHeight="1">
      <x:c r="B2" s="193"/>
      <x:c r="C2" s="193"/>
      <x:c r="D2" s="193"/>
      <x:c r="E2" s="193"/>
      <x:c r="F2" s="193"/>
      <x:c r="G2" s="193"/>
      <x:c r="H2" s="193"/>
      <x:c r="I2" s="193"/>
      <x:c r="J2" s="193"/>
      <x:c r="K2" s="193"/>
      <x:c r="L2" s="193"/>
      <x:c r="M2" s="193"/>
      <x:c r="N2" s="193"/>
      <x:c r="O2" s="193"/>
      <x:c r="P2" s="193"/>
      <x:c r="Q2" s="193"/>
      <x:c r="R2" s="193"/>
    </x:row>
    <x:row r="3" s="71" customFormat="1" ht="39" customHeight="1">
      <x:c r="A3" s="192" t="s">
        <x:v>1</x:v>
      </x:c>
      <x:c r="B3" s="190" t="s">
        <x:v>2</x:v>
      </x:c>
      <x:c r="C3" s="190" t="s">
        <x:v>3</x:v>
      </x:c>
      <x:c r="D3" s="190" t="s">
        <x:v>4</x:v>
      </x:c>
      <x:c r="E3" s="190" t="s">
        <x:v>5</x:v>
      </x:c>
      <x:c r="F3" s="186" t="s">
        <x:v>6</x:v>
      </x:c>
      <x:c r="G3" s="187"/>
      <x:c r="H3" s="187"/>
      <x:c r="I3" s="187"/>
      <x:c r="J3" s="187"/>
      <x:c r="K3" s="188"/>
      <x:c r="L3" s="190" t="s">
        <x:v>7</x:v>
      </x:c>
      <x:c r="M3" s="190"/>
      <x:c r="N3" s="190"/>
      <x:c r="O3" s="190"/>
      <x:c r="P3" s="190"/>
      <x:c r="Q3" s="190" t="s">
        <x:v>8</x:v>
      </x:c>
      <x:c r="R3" s="190"/>
      <x:c r="S3" s="185" t="s">
        <x:v>9</x:v>
      </x:c>
    </x:row>
    <x:row r="4" s="71" customFormat="1" ht="57.75" customHeight="1">
      <x:c r="A4" s="192"/>
      <x:c r="B4" s="190"/>
      <x:c r="C4" s="190"/>
      <x:c r="D4" s="190"/>
      <x:c r="E4" s="190"/>
      <x:c r="F4" s="77" t="s">
        <x:v>10</x:v>
      </x:c>
      <x:c r="G4" s="108" t="s">
        <x:v>11</x:v>
      </x:c>
      <x:c r="H4" s="77" t="s">
        <x:v>12</x:v>
      </x:c>
      <x:c r="I4" s="77" t="s">
        <x:v>13</x:v>
      </x:c>
      <x:c r="J4" s="77" t="s">
        <x:v>14</x:v>
      </x:c>
      <x:c r="K4" s="112" t="s">
        <x:v>15</x:v>
      </x:c>
      <x:c r="L4" s="77" t="s">
        <x:v>16</x:v>
      </x:c>
      <x:c r="M4" s="77" t="s">
        <x:v>17</x:v>
      </x:c>
      <x:c r="N4" s="77" t="s">
        <x:v>18</x:v>
      </x:c>
      <x:c r="O4" s="79" t="s">
        <x:v>19</x:v>
      </x:c>
      <x:c r="P4" s="77" t="s">
        <x:v>20</x:v>
      </x:c>
      <x:c r="Q4" s="77" t="s">
        <x:v>21</x:v>
      </x:c>
      <x:c r="R4" s="77" t="s">
        <x:v>22</x:v>
      </x:c>
      <x:c r="S4" s="185"/>
    </x:row>
    <x:row r="5" s="71" customFormat="1" ht="41.25" customHeight="1">
      <x:c r="A5" s="191"/>
      <x:c r="B5" s="191"/>
      <x:c r="C5" s="78"/>
      <x:c r="D5" s="78"/>
      <x:c r="E5" s="78"/>
      <x:c r="F5" s="118" t="n">
        <x:f>SUM(F6:F37)</x:f>
        <x:v>1107</x:v>
      </x:c>
      <x:c r="G5" s="152" t="n">
        <x:f>SUM(G6:G37)</x:f>
        <x:v>581</x:v>
      </x:c>
      <x:c r="H5" s="118" t="n">
        <x:f t="shared" ref="H5:K5" si="0">SUM(H6:H37)</x:f>
        <x:v>355</x:v>
      </x:c>
      <x:c r="I5" s="118">
        <x:f t="shared" si="0"/>
        <x:v>85</x:v>
      </x:c>
      <x:c r="J5" s="118">
        <x:f t="shared" si="0"/>
        <x:v>20</x:v>
      </x:c>
      <x:c r="K5" s="118">
        <x:f t="shared" si="0"/>
        <x:v>66</x:v>
      </x:c>
      <x:c r="L5" s="78"/>
      <x:c r="M5" s="78"/>
      <x:c r="N5" s="78"/>
      <x:c r="O5" s="80"/>
      <x:c r="P5" s="78"/>
      <x:c r="Q5" s="78"/>
      <x:c r="R5" s="78"/>
      <x:c r="S5" s="82"/>
    </x:row>
    <x:row r="6" s="72" customFormat="1" ht="54.75" customHeight="1">
      <x:c r="A6" s="76">
        <x:v>1</x:v>
      </x:c>
      <x:c r="B6" s="78" t="s">
        <x:v>23</x:v>
      </x:c>
      <x:c r="C6" s="73" t="s">
        <x:v>24</x:v>
      </x:c>
      <x:c r="D6" s="73" t="s">
        <x:v>25</x:v>
      </x:c>
      <x:c r="E6" s="73" t="s">
        <x:v>26</x:v>
      </x:c>
      <x:c r="F6" s="119" t="n">
        <x:f t="shared" ref="F6:F37" si="1">SUM(G6:K6)</x:f>
        <x:v>45</x:v>
      </x:c>
      <x:c r="G6" s="138">
        <x:v>16</x:v>
      </x:c>
      <x:c r="H6" s="136">
        <x:v>15</x:v>
      </x:c>
      <x:c r="I6" s="136">
        <x:v>14</x:v>
      </x:c>
      <x:c r="J6" s="136"/>
      <x:c r="K6" s="136"/>
      <x:c r="L6" s="74">
        <x:v>0.4861111111111111</x:v>
      </x:c>
      <x:c r="M6" s="73" t="s">
        <x:v>27</x:v>
      </x:c>
      <x:c r="N6" s="73"/>
      <x:c r="O6" s="75" t="s">
        <x:v>28</x:v>
      </x:c>
      <x:c r="P6" s="85" t="s">
        <x:v>29</x:v>
      </x:c>
      <x:c r="Q6" s="73" t="s">
        <x:v>30</x:v>
      </x:c>
      <x:c r="R6" s="73" t="s">
        <x:v>31</x:v>
      </x:c>
      <x:c r="S6" s="84"/>
    </x:row>
    <x:row r="7" s="72" customFormat="1" ht="54.75" customHeight="1">
      <x:c r="A7" s="76">
        <x:v>2</x:v>
      </x:c>
      <x:c r="B7" s="78" t="s">
        <x:v>32</x:v>
      </x:c>
      <x:c r="C7" s="73" t="s">
        <x:v>33</x:v>
      </x:c>
      <x:c r="D7" s="73" t="s">
        <x:v>34</x:v>
      </x:c>
      <x:c r="E7" s="73" t="s">
        <x:v>34</x:v>
      </x:c>
      <x:c r="F7" s="119">
        <x:f t="shared" si="1"/>
        <x:v>12</x:v>
      </x:c>
      <x:c r="G7" s="138">
        <x:v>12</x:v>
      </x:c>
      <x:c r="H7" s="139"/>
      <x:c r="I7" s="139"/>
      <x:c r="J7" s="139"/>
      <x:c r="K7" s="139"/>
      <x:c r="L7" s="74">
        <x:v>0.50694444444444442</x:v>
      </x:c>
      <x:c r="M7" s="73" t="s">
        <x:v>35</x:v>
      </x:c>
      <x:c r="N7" s="73"/>
      <x:c r="O7" s="75" t="s">
        <x:v>36</x:v>
      </x:c>
      <x:c r="P7" s="85" t="s">
        <x:v>29</x:v>
      </x:c>
      <x:c r="Q7" s="73" t="s">
        <x:v>37</x:v>
      </x:c>
      <x:c r="R7" s="73" t="s">
        <x:v>38</x:v>
      </x:c>
      <x:c r="S7" s="83"/>
    </x:row>
    <x:row r="8" s="72" customFormat="1" ht="54.75" customHeight="1">
      <x:c r="A8" s="76">
        <x:v>3</x:v>
      </x:c>
      <x:c r="B8" s="81" t="s">
        <x:v>39</x:v>
      </x:c>
      <x:c r="C8" s="73" t="s">
        <x:v>40</x:v>
      </x:c>
      <x:c r="D8" s="73" t="s">
        <x:v>41</x:v>
      </x:c>
      <x:c r="E8" s="73" t="s">
        <x:v>41</x:v>
      </x:c>
      <x:c r="F8" s="119">
        <x:f t="shared" si="1"/>
        <x:v>27</x:v>
      </x:c>
      <x:c r="G8" s="138">
        <x:v>14</x:v>
      </x:c>
      <x:c r="H8" s="139">
        <x:v>13</x:v>
      </x:c>
      <x:c r="I8" s="139"/>
      <x:c r="J8" s="139"/>
      <x:c r="K8" s="139"/>
      <x:c r="L8" s="74">
        <x:v>0.50694444444444442</x:v>
      </x:c>
      <x:c r="M8" s="73" t="s">
        <x:v>42</x:v>
      </x:c>
      <x:c r="N8" s="73" t="s">
        <x:v>43</x:v>
      </x:c>
      <x:c r="O8" s="75" t="s">
        <x:v>44</x:v>
      </x:c>
      <x:c r="P8" s="85" t="s">
        <x:v>29</x:v>
      </x:c>
      <x:c r="Q8" s="73" t="s">
        <x:v>45</x:v>
      </x:c>
      <x:c r="R8" s="73" t="s">
        <x:v>46</x:v>
      </x:c>
      <x:c r="S8" s="86"/>
    </x:row>
    <x:row r="9" s="72" customFormat="1" ht="54.75" customHeight="1">
      <x:c r="A9" s="76">
        <x:v>4</x:v>
      </x:c>
      <x:c r="B9" s="78" t="s">
        <x:v>47</x:v>
      </x:c>
      <x:c r="C9" s="73" t="s">
        <x:v>48</x:v>
      </x:c>
      <x:c r="D9" s="73" t="s">
        <x:v>49</x:v>
      </x:c>
      <x:c r="E9" s="73" t="s">
        <x:v>50</x:v>
      </x:c>
      <x:c r="F9" s="119">
        <x:f t="shared" si="1"/>
        <x:v>19</x:v>
      </x:c>
      <x:c r="G9" s="138">
        <x:v>19</x:v>
      </x:c>
      <x:c r="H9" s="139"/>
      <x:c r="I9" s="139"/>
      <x:c r="J9" s="139"/>
      <x:c r="K9" s="139"/>
      <x:c r="L9" s="74">
        <x:v>0.49305555555555558</x:v>
      </x:c>
      <x:c r="M9" s="73" t="s">
        <x:v>51</x:v>
      </x:c>
      <x:c r="N9" s="73"/>
      <x:c r="O9" s="75" t="s">
        <x:v>52</x:v>
      </x:c>
      <x:c r="P9" s="85" t="s">
        <x:v>29</x:v>
      </x:c>
      <x:c r="Q9" s="73" t="s">
        <x:v>37</x:v>
      </x:c>
      <x:c r="R9" s="73" t="s">
        <x:v>53</x:v>
      </x:c>
      <x:c r="S9" s="84"/>
    </x:row>
    <x:row r="10" s="72" customFormat="1" ht="54.75" customHeight="1">
      <x:c r="A10" s="76">
        <x:v>5</x:v>
      </x:c>
      <x:c r="B10" s="78" t="s">
        <x:v>54</x:v>
      </x:c>
      <x:c r="C10" s="73" t="s">
        <x:v>55</x:v>
      </x:c>
      <x:c r="D10" s="73" t="s">
        <x:v>56</x:v>
      </x:c>
      <x:c r="E10" s="73" t="s">
        <x:v>57</x:v>
      </x:c>
      <x:c r="F10" s="119">
        <x:f t="shared" si="1"/>
        <x:v>16</x:v>
      </x:c>
      <x:c r="G10" s="138">
        <x:v>16</x:v>
      </x:c>
      <x:c r="H10" s="139"/>
      <x:c r="I10" s="139"/>
      <x:c r="J10" s="139"/>
      <x:c r="K10" s="139"/>
      <x:c r="L10" s="74">
        <x:v>0.46527777777777779</x:v>
      </x:c>
      <x:c r="M10" s="73" t="s">
        <x:v>58</x:v>
      </x:c>
      <x:c r="N10" s="73"/>
      <x:c r="O10" s="75" t="s">
        <x:v>59</x:v>
      </x:c>
      <x:c r="P10" s="85" t="s">
        <x:v>60</x:v>
      </x:c>
      <x:c r="Q10" s="73" t="s">
        <x:v>37</x:v>
      </x:c>
      <x:c r="R10" s="73" t="s">
        <x:v>61</x:v>
      </x:c>
      <x:c r="S10" s="84"/>
    </x:row>
    <x:row r="11" s="72" customFormat="1" ht="54.75" customHeight="1">
      <x:c r="A11" s="76">
        <x:v>6</x:v>
      </x:c>
      <x:c r="B11" s="134" t="s">
        <x:v>62</x:v>
      </x:c>
      <x:c r="C11" s="73" t="s">
        <x:v>63</x:v>
      </x:c>
      <x:c r="D11" s="73" t="s">
        <x:v>64</x:v>
      </x:c>
      <x:c r="E11" s="73" t="s">
        <x:v>65</x:v>
      </x:c>
      <x:c r="F11" s="119">
        <x:f t="shared" si="1"/>
        <x:v>49</x:v>
      </x:c>
      <x:c r="G11" s="138">
        <x:v>18</x:v>
      </x:c>
      <x:c r="H11" s="139">
        <x:v>17</x:v>
      </x:c>
      <x:c r="I11" s="139"/>
      <x:c r="J11" s="139"/>
      <x:c r="K11" s="139">
        <x:v>14</x:v>
      </x:c>
      <x:c r="L11" s="74">
        <x:v>0.47916666666666669</x:v>
      </x:c>
      <x:c r="M11" s="73" t="s">
        <x:v>66</x:v>
      </x:c>
      <x:c r="N11" s="73" t="s">
        <x:v>43</x:v>
      </x:c>
      <x:c r="O11" s="75" t="s">
        <x:v>67</x:v>
      </x:c>
      <x:c r="P11" s="85" t="s">
        <x:v>29</x:v>
      </x:c>
      <x:c r="Q11" s="73" t="s">
        <x:v>45</x:v>
      </x:c>
      <x:c r="R11" s="73" t="s">
        <x:v>68</x:v>
      </x:c>
      <x:c r="S11" s="84"/>
    </x:row>
    <x:row r="12" s="72" customFormat="1" ht="54.75" customHeight="1">
      <x:c r="A12" s="76">
        <x:v>7</x:v>
      </x:c>
      <x:c r="B12" s="134" t="s">
        <x:v>69</x:v>
      </x:c>
      <x:c r="C12" s="73" t="s">
        <x:v>70</x:v>
      </x:c>
      <x:c r="D12" s="73" t="s">
        <x:v>71</x:v>
      </x:c>
      <x:c r="E12" s="73" t="s">
        <x:v>72</x:v>
      </x:c>
      <x:c r="F12" s="119">
        <x:f t="shared" si="1"/>
        <x:v>23</x:v>
      </x:c>
      <x:c r="G12" s="138">
        <x:v>23</x:v>
      </x:c>
      <x:c r="H12" s="139"/>
      <x:c r="I12" s="139"/>
      <x:c r="J12" s="139"/>
      <x:c r="K12" s="139"/>
      <x:c r="L12" s="74">
        <x:v>0.4861111111111111</x:v>
      </x:c>
      <x:c r="M12" s="73" t="s">
        <x:v>73</x:v>
      </x:c>
      <x:c r="N12" s="73"/>
      <x:c r="O12" s="75" t="s">
        <x:v>74</x:v>
      </x:c>
      <x:c r="P12" s="85" t="s">
        <x:v>29</x:v>
      </x:c>
      <x:c r="Q12" s="73" t="s">
        <x:v>37</x:v>
      </x:c>
      <x:c r="R12" s="73" t="s">
        <x:v>75</x:v>
      </x:c>
      <x:c r="S12" s="86"/>
    </x:row>
    <x:row r="13" ht="64.5" customHeight="1">
      <x:c r="A13" s="76">
        <x:v>8</x:v>
      </x:c>
      <x:c r="B13" s="134" t="s">
        <x:v>76</x:v>
      </x:c>
      <x:c r="C13" s="73" t="s">
        <x:v>77</x:v>
      </x:c>
      <x:c r="D13" s="73" t="s">
        <x:v>78</x:v>
      </x:c>
      <x:c r="E13" s="73" t="s">
        <x:v>79</x:v>
      </x:c>
      <x:c r="F13" s="119">
        <x:f t="shared" si="1"/>
        <x:v>28</x:v>
      </x:c>
      <x:c r="G13" s="138">
        <x:v>15</x:v>
      </x:c>
      <x:c r="H13" s="139">
        <x:v>13</x:v>
      </x:c>
      <x:c r="I13" s="139"/>
      <x:c r="J13" s="139"/>
      <x:c r="K13" s="139"/>
      <x:c r="L13" s="74">
        <x:v>0.52083333333333337</x:v>
      </x:c>
      <x:c r="M13" s="73" t="s">
        <x:v>80</x:v>
      </x:c>
      <x:c r="N13" s="73"/>
      <x:c r="O13" s="75" t="s">
        <x:v>67</x:v>
      </x:c>
      <x:c r="P13" s="85" t="s">
        <x:v>29</x:v>
      </x:c>
      <x:c r="Q13" s="73" t="s">
        <x:v>45</x:v>
      </x:c>
      <x:c r="R13" s="73" t="s">
        <x:v>81</x:v>
      </x:c>
      <x:c r="S13" s="141"/>
    </x:row>
    <x:row r="14" ht="54.75" customHeight="1">
      <x:c r="A14" s="76">
        <x:v>9</x:v>
      </x:c>
      <x:c r="B14" s="134" t="s">
        <x:v>82</x:v>
      </x:c>
      <x:c r="C14" s="73" t="s">
        <x:v>83</x:v>
      </x:c>
      <x:c r="D14" s="73" t="s">
        <x:v>84</x:v>
      </x:c>
      <x:c r="E14" s="73" t="s">
        <x:v>85</x:v>
      </x:c>
      <x:c r="F14" s="119">
        <x:f t="shared" si="1"/>
        <x:v>33</x:v>
      </x:c>
      <x:c r="G14" s="138">
        <x:v>16</x:v>
      </x:c>
      <x:c r="H14" s="139">
        <x:v>17</x:v>
      </x:c>
      <x:c r="I14" s="139"/>
      <x:c r="J14" s="139"/>
      <x:c r="K14" s="139"/>
      <x:c r="L14" s="74">
        <x:v>0.5</x:v>
      </x:c>
      <x:c r="M14" s="73" t="s">
        <x:v>86</x:v>
      </x:c>
      <x:c r="N14" s="73" t="s">
        <x:v>87</x:v>
      </x:c>
      <x:c r="O14" s="75" t="s">
        <x:v>28</x:v>
      </x:c>
      <x:c r="P14" s="85" t="s">
        <x:v>29</x:v>
      </x:c>
      <x:c r="Q14" s="73" t="s">
        <x:v>37</x:v>
      </x:c>
      <x:c r="R14" s="73" t="s">
        <x:v>88</x:v>
      </x:c>
      <x:c r="S14" s="142"/>
    </x:row>
    <x:row r="15" ht="54.75" customHeight="1">
      <x:c r="A15" s="76">
        <x:v>10</x:v>
      </x:c>
      <x:c r="B15" s="134" t="s">
        <x:v>89</x:v>
      </x:c>
      <x:c r="C15" s="73" t="s">
        <x:v>90</x:v>
      </x:c>
      <x:c r="D15" s="137" t="s">
        <x:v>91</x:v>
      </x:c>
      <x:c r="E15" s="73" t="s">
        <x:v>92</x:v>
      </x:c>
      <x:c r="F15" s="119">
        <x:f t="shared" si="1"/>
        <x:v>37</x:v>
      </x:c>
      <x:c r="G15" s="138">
        <x:v>19</x:v>
      </x:c>
      <x:c r="H15" s="139">
        <x:v>18</x:v>
      </x:c>
      <x:c r="I15" s="139"/>
      <x:c r="J15" s="139"/>
      <x:c r="K15" s="139"/>
      <x:c r="L15" s="74">
        <x:v>0.4861111111111111</x:v>
      </x:c>
      <x:c r="M15" s="73" t="s">
        <x:v>27</x:v>
      </x:c>
      <x:c r="N15" s="73"/>
      <x:c r="O15" s="75" t="s">
        <x:v>28</x:v>
      </x:c>
      <x:c r="P15" s="85" t="s">
        <x:v>29</x:v>
      </x:c>
      <x:c r="Q15" s="73" t="s">
        <x:v>37</x:v>
      </x:c>
      <x:c r="R15" s="73" t="s">
        <x:v>93</x:v>
      </x:c>
      <x:c r="S15" s="142"/>
    </x:row>
    <x:row r="16" ht="54.75" customHeight="1">
      <x:c r="A16" s="76">
        <x:v>11</x:v>
      </x:c>
      <x:c r="B16" s="134" t="s">
        <x:v>94</x:v>
      </x:c>
      <x:c r="C16" s="73" t="s">
        <x:v>95</x:v>
      </x:c>
      <x:c r="D16" s="73" t="s">
        <x:v>96</x:v>
      </x:c>
      <x:c r="E16" s="73" t="s">
        <x:v>97</x:v>
      </x:c>
      <x:c r="F16" s="119">
        <x:f t="shared" si="1"/>
        <x:v>78</x:v>
      </x:c>
      <x:c r="G16" s="138">
        <x:v>20</x:v>
      </x:c>
      <x:c r="H16" s="139">
        <x:v>20</x:v>
      </x:c>
      <x:c r="I16" s="139">
        <x:v>18</x:v>
      </x:c>
      <x:c r="J16" s="139">
        <x:v>20</x:v>
      </x:c>
      <x:c r="K16" s="139"/>
      <x:c r="L16" s="74">
        <x:v>0.4861111111111111</x:v>
      </x:c>
      <x:c r="M16" s="73" t="s">
        <x:v>98</x:v>
      </x:c>
      <x:c r="N16" s="73"/>
      <x:c r="O16" s="75" t="s">
        <x:v>99</x:v>
      </x:c>
      <x:c r="P16" s="85" t="s">
        <x:v>29</x:v>
      </x:c>
      <x:c r="Q16" s="73" t="s">
        <x:v>37</x:v>
      </x:c>
      <x:c r="R16" s="73" t="s">
        <x:v>100</x:v>
      </x:c>
      <x:c r="S16" s="142"/>
    </x:row>
    <x:row r="17" ht="54.75" customHeight="1">
      <x:c r="A17" s="76">
        <x:v>12</x:v>
      </x:c>
      <x:c r="B17" s="134" t="s">
        <x:v>101</x:v>
      </x:c>
      <x:c r="C17" s="73" t="s">
        <x:v>102</x:v>
      </x:c>
      <x:c r="D17" s="73" t="s">
        <x:v>103</x:v>
      </x:c>
      <x:c r="E17" s="73" t="s">
        <x:v>104</x:v>
      </x:c>
      <x:c r="F17" s="119">
        <x:f t="shared" si="1"/>
        <x:v>24</x:v>
      </x:c>
      <x:c r="G17" s="138">
        <x:v>13</x:v>
      </x:c>
      <x:c r="H17" s="139">
        <x:v>11</x:v>
      </x:c>
      <x:c r="I17" s="139"/>
      <x:c r="J17" s="139"/>
      <x:c r="K17" s="139"/>
      <x:c r="L17" s="74">
        <x:v>0.5</x:v>
      </x:c>
      <x:c r="M17" s="73" t="s">
        <x:v>105</x:v>
      </x:c>
      <x:c r="N17" s="73"/>
      <x:c r="O17" s="75" t="s">
        <x:v>106</x:v>
      </x:c>
      <x:c r="P17" s="85" t="s">
        <x:v>29</x:v>
      </x:c>
      <x:c r="Q17" s="73" t="s">
        <x:v>37</x:v>
      </x:c>
      <x:c r="R17" s="73" t="s">
        <x:v>107</x:v>
      </x:c>
      <x:c r="S17" s="142"/>
    </x:row>
    <x:row r="18" ht="54.75" customHeight="1">
      <x:c r="A18" s="76">
        <x:v>13</x:v>
      </x:c>
      <x:c r="B18" s="134" t="s">
        <x:v>108</x:v>
      </x:c>
      <x:c r="C18" s="73" t="s">
        <x:v>109</x:v>
      </x:c>
      <x:c r="D18" s="73" t="s">
        <x:v>110</x:v>
      </x:c>
      <x:c r="E18" s="73" t="s">
        <x:v>111</x:v>
      </x:c>
      <x:c r="F18" s="119">
        <x:f t="shared" si="1"/>
        <x:v>36</x:v>
      </x:c>
      <x:c r="G18" s="138">
        <x:v>21</x:v>
      </x:c>
      <x:c r="H18" s="139">
        <x:v>15</x:v>
      </x:c>
      <x:c r="I18" s="139"/>
      <x:c r="J18" s="139"/>
      <x:c r="K18" s="139"/>
      <x:c r="L18" s="74">
        <x:v>0.4861111111111111</x:v>
      </x:c>
      <x:c r="M18" s="73" t="s">
        <x:v>66</x:v>
      </x:c>
      <x:c r="N18" s="73" t="s">
        <x:v>43</x:v>
      </x:c>
      <x:c r="O18" s="75" t="s">
        <x:v>67</x:v>
      </x:c>
      <x:c r="P18" s="85" t="s">
        <x:v>29</x:v>
      </x:c>
      <x:c r="Q18" s="73" t="s">
        <x:v>37</x:v>
      </x:c>
      <x:c r="R18" s="73" t="s">
        <x:v>112</x:v>
      </x:c>
      <x:c r="S18" s="142"/>
    </x:row>
    <x:row r="19" ht="54.75" customHeight="1">
      <x:c r="A19" s="76">
        <x:v>14</x:v>
      </x:c>
      <x:c r="B19" s="134" t="s">
        <x:v>113</x:v>
      </x:c>
      <x:c r="C19" s="73" t="s">
        <x:v>114</x:v>
      </x:c>
      <x:c r="D19" s="73" t="s">
        <x:v>115</x:v>
      </x:c>
      <x:c r="E19" s="73" t="s">
        <x:v>116</x:v>
      </x:c>
      <x:c r="F19" s="119">
        <x:f t="shared" si="1"/>
        <x:v>39</x:v>
      </x:c>
      <x:c r="G19" s="138">
        <x:v>20</x:v>
      </x:c>
      <x:c r="H19" s="139">
        <x:v>19</x:v>
      </x:c>
      <x:c r="I19" s="139"/>
      <x:c r="J19" s="139"/>
      <x:c r="K19" s="139"/>
      <x:c r="L19" s="74">
        <x:v>0.5</x:v>
      </x:c>
      <x:c r="M19" s="73" t="s">
        <x:v>117</x:v>
      </x:c>
      <x:c r="N19" s="73"/>
      <x:c r="O19" s="75" t="s">
        <x:v>99</x:v>
      </x:c>
      <x:c r="P19" s="85" t="s">
        <x:v>29</x:v>
      </x:c>
      <x:c r="Q19" s="73" t="s">
        <x:v>45</x:v>
      </x:c>
      <x:c r="R19" s="73" t="s">
        <x:v>118</x:v>
      </x:c>
      <x:c r="S19" s="142"/>
    </x:row>
    <x:row r="20" ht="54.75" customHeight="1">
      <x:c r="A20" s="76">
        <x:v>15</x:v>
      </x:c>
      <x:c r="B20" s="134" t="s">
        <x:v>119</x:v>
      </x:c>
      <x:c r="C20" s="73" t="s">
        <x:v>120</x:v>
      </x:c>
      <x:c r="D20" s="73" t="s">
        <x:v>121</x:v>
      </x:c>
      <x:c r="E20" s="73" t="s">
        <x:v>122</x:v>
      </x:c>
      <x:c r="F20" s="119">
        <x:f t="shared" si="1"/>
        <x:v>16</x:v>
      </x:c>
      <x:c r="G20" s="138">
        <x:v>16</x:v>
      </x:c>
      <x:c r="H20" s="139"/>
      <x:c r="I20" s="139"/>
      <x:c r="J20" s="139"/>
      <x:c r="K20" s="139"/>
      <x:c r="L20" s="74">
        <x:v>0.5</x:v>
      </x:c>
      <x:c r="M20" s="73" t="s">
        <x:v>123</x:v>
      </x:c>
      <x:c r="N20" s="73" t="s">
        <x:v>124</x:v>
      </x:c>
      <x:c r="O20" s="75" t="s">
        <x:v>28</x:v>
      </x:c>
      <x:c r="P20" s="85" t="s">
        <x:v>29</x:v>
      </x:c>
      <x:c r="Q20" s="73" t="s">
        <x:v>37</x:v>
      </x:c>
      <x:c r="R20" s="73" t="s">
        <x:v>125</x:v>
      </x:c>
      <x:c r="S20" s="142"/>
    </x:row>
    <x:row r="21" ht="54.75" customHeight="1">
      <x:c r="A21" s="76">
        <x:v>16</x:v>
      </x:c>
      <x:c r="B21" s="134" t="s">
        <x:v>126</x:v>
      </x:c>
      <x:c r="C21" s="73" t="s">
        <x:v>127</x:v>
      </x:c>
      <x:c r="D21" s="73" t="s">
        <x:v>128</x:v>
      </x:c>
      <x:c r="E21" s="73" t="s">
        <x:v>128</x:v>
      </x:c>
      <x:c r="F21" s="119">
        <x:f t="shared" si="1"/>
        <x:v>17</x:v>
      </x:c>
      <x:c r="G21" s="138">
        <x:v>17</x:v>
      </x:c>
      <x:c r="H21" s="139"/>
      <x:c r="I21" s="139"/>
      <x:c r="J21" s="139"/>
      <x:c r="K21" s="139"/>
      <x:c r="L21" s="74">
        <x:v>0.5</x:v>
      </x:c>
      <x:c r="M21" s="140" t="s">
        <x:v>129</x:v>
      </x:c>
      <x:c r="N21" s="73"/>
      <x:c r="O21" s="75" t="s">
        <x:v>28</x:v>
      </x:c>
      <x:c r="P21" s="85" t="s">
        <x:v>29</x:v>
      </x:c>
      <x:c r="Q21" s="73" t="s">
        <x:v>45</x:v>
      </x:c>
      <x:c r="R21" s="73" t="s">
        <x:v>130</x:v>
      </x:c>
      <x:c r="S21" s="142"/>
    </x:row>
    <x:row r="22" ht="54.75" customHeight="1">
      <x:c r="A22" s="76">
        <x:v>17</x:v>
      </x:c>
      <x:c r="B22" s="134" t="s">
        <x:v>131</x:v>
      </x:c>
      <x:c r="C22" s="73" t="s">
        <x:v>132</x:v>
      </x:c>
      <x:c r="D22" s="73" t="s">
        <x:v>133</x:v>
      </x:c>
      <x:c r="E22" s="73" t="s">
        <x:v>134</x:v>
      </x:c>
      <x:c r="F22" s="119">
        <x:f t="shared" si="1"/>
        <x:v>16</x:v>
      </x:c>
      <x:c r="G22" s="138">
        <x:v>16</x:v>
      </x:c>
      <x:c r="H22" s="139"/>
      <x:c r="I22" s="139"/>
      <x:c r="J22" s="139"/>
      <x:c r="K22" s="139"/>
      <x:c r="L22" s="74">
        <x:v>0.47916666666666669</x:v>
      </x:c>
      <x:c r="M22" s="73" t="s">
        <x:v>135</x:v>
      </x:c>
      <x:c r="N22" s="73"/>
      <x:c r="O22" s="75" t="s">
        <x:v>99</x:v>
      </x:c>
      <x:c r="P22" s="85" t="s">
        <x:v>29</x:v>
      </x:c>
      <x:c r="Q22" s="73" t="s">
        <x:v>37</x:v>
      </x:c>
      <x:c r="R22" s="73" t="s">
        <x:v>136</x:v>
      </x:c>
      <x:c r="S22" s="142"/>
    </x:row>
    <x:row r="23" ht="54.75" customHeight="1">
      <x:c r="A23" s="76">
        <x:v>18</x:v>
      </x:c>
      <x:c r="B23" s="134" t="s">
        <x:v>137</x:v>
      </x:c>
      <x:c r="C23" s="73" t="s">
        <x:v>138</x:v>
      </x:c>
      <x:c r="D23" s="73" t="s">
        <x:v>139</x:v>
      </x:c>
      <x:c r="E23" s="73" t="s">
        <x:v>139</x:v>
      </x:c>
      <x:c r="F23" s="119">
        <x:f t="shared" si="1"/>
        <x:v>41</x:v>
      </x:c>
      <x:c r="G23" s="138">
        <x:v>21</x:v>
      </x:c>
      <x:c r="H23" s="139">
        <x:v>20</x:v>
      </x:c>
      <x:c r="I23" s="139"/>
      <x:c r="J23" s="139"/>
      <x:c r="K23" s="139"/>
      <x:c r="L23" s="74">
        <x:v>0.5</x:v>
      </x:c>
      <x:c r="M23" s="73" t="s">
        <x:v>140</x:v>
      </x:c>
      <x:c r="N23" s="73" t="s">
        <x:v>43</x:v>
      </x:c>
      <x:c r="O23" s="75" t="s">
        <x:v>141</x:v>
      </x:c>
      <x:c r="P23" s="85" t="s">
        <x:v>29</x:v>
      </x:c>
      <x:c r="Q23" s="73" t="s">
        <x:v>37</x:v>
      </x:c>
      <x:c r="R23" s="73" t="s">
        <x:v>142</x:v>
      </x:c>
      <x:c r="S23" s="142"/>
    </x:row>
    <x:row r="24" ht="54.75" customHeight="1">
      <x:c r="A24" s="76">
        <x:v>19</x:v>
      </x:c>
      <x:c r="B24" s="134" t="s">
        <x:v>143</x:v>
      </x:c>
      <x:c r="C24" s="73" t="s">
        <x:v>144</x:v>
      </x:c>
      <x:c r="D24" s="73" t="s">
        <x:v>145</x:v>
      </x:c>
      <x:c r="E24" s="73" t="s">
        <x:v>146</x:v>
      </x:c>
      <x:c r="F24" s="119">
        <x:f t="shared" si="1"/>
        <x:v>14</x:v>
      </x:c>
      <x:c r="G24" s="138">
        <x:v>14</x:v>
      </x:c>
      <x:c r="H24" s="139"/>
      <x:c r="I24" s="139"/>
      <x:c r="J24" s="139"/>
      <x:c r="K24" s="139"/>
      <x:c r="L24" s="74">
        <x:v>0.47222222222222221</x:v>
      </x:c>
      <x:c r="M24" s="73" t="s">
        <x:v>147</x:v>
      </x:c>
      <x:c r="N24" s="73" t="s">
        <x:v>148</x:v>
      </x:c>
      <x:c r="O24" s="75" t="s">
        <x:v>67</x:v>
      </x:c>
      <x:c r="P24" s="85" t="s">
        <x:v>29</x:v>
      </x:c>
      <x:c r="Q24" s="73" t="s">
        <x:v>37</x:v>
      </x:c>
      <x:c r="R24" s="73" t="s">
        <x:v>149</x:v>
      </x:c>
      <x:c r="S24" s="142"/>
    </x:row>
    <x:row r="25" ht="54.75" customHeight="1">
      <x:c r="A25" s="76">
        <x:v>20</x:v>
      </x:c>
      <x:c r="B25" s="134" t="s">
        <x:v>150</x:v>
      </x:c>
      <x:c r="C25" s="73" t="s">
        <x:v>151</x:v>
      </x:c>
      <x:c r="D25" s="73" t="s">
        <x:v>152</x:v>
      </x:c>
      <x:c r="E25" s="73" t="s">
        <x:v>152</x:v>
      </x:c>
      <x:c r="F25" s="119">
        <x:f t="shared" si="1"/>
        <x:v>55</x:v>
      </x:c>
      <x:c r="G25" s="138">
        <x:v>19</x:v>
      </x:c>
      <x:c r="H25" s="139">
        <x:v>18</x:v>
      </x:c>
      <x:c r="I25" s="139">
        <x:v>18</x:v>
      </x:c>
      <x:c r="J25" s="139"/>
      <x:c r="K25" s="139"/>
      <x:c r="L25" s="74">
        <x:v>0.47916666666666669</x:v>
      </x:c>
      <x:c r="M25" s="73" t="s">
        <x:v>153</x:v>
      </x:c>
      <x:c r="N25" s="73"/>
      <x:c r="O25" s="75" t="s">
        <x:v>99</x:v>
      </x:c>
      <x:c r="P25" s="85" t="s">
        <x:v>29</x:v>
      </x:c>
      <x:c r="Q25" s="73" t="s">
        <x:v>37</x:v>
      </x:c>
      <x:c r="R25" s="73" t="s">
        <x:v>154</x:v>
      </x:c>
      <x:c r="S25" s="142"/>
    </x:row>
    <x:row r="26" ht="54.75" customHeight="1">
      <x:c r="A26" s="76">
        <x:v>21</x:v>
      </x:c>
      <x:c r="B26" s="134" t="s">
        <x:v>155</x:v>
      </x:c>
      <x:c r="C26" s="73" t="s">
        <x:v>156</x:v>
      </x:c>
      <x:c r="D26" s="73" t="s">
        <x:v>157</x:v>
      </x:c>
      <x:c r="E26" s="73" t="s">
        <x:v>158</x:v>
      </x:c>
      <x:c r="F26" s="119">
        <x:f t="shared" si="1"/>
        <x:v>21</x:v>
      </x:c>
      <x:c r="G26" s="138">
        <x:v>21</x:v>
      </x:c>
      <x:c r="H26" s="139"/>
      <x:c r="I26" s="139"/>
      <x:c r="J26" s="139"/>
      <x:c r="K26" s="139"/>
      <x:c r="L26" s="74">
        <x:v>0.47916666666666669</x:v>
      </x:c>
      <x:c r="M26" s="73" t="s">
        <x:v>159</x:v>
      </x:c>
      <x:c r="N26" s="73" t="s">
        <x:v>160</x:v>
      </x:c>
      <x:c r="O26" s="75" t="s">
        <x:v>141</x:v>
      </x:c>
      <x:c r="P26" s="85" t="s">
        <x:v>29</x:v>
      </x:c>
      <x:c r="Q26" s="73" t="s">
        <x:v>37</x:v>
      </x:c>
      <x:c r="R26" s="73" t="s">
        <x:v>161</x:v>
      </x:c>
      <x:c r="S26" s="142"/>
    </x:row>
    <x:row r="27" ht="54.75" customHeight="1">
      <x:c r="A27" s="76">
        <x:v>22</x:v>
      </x:c>
      <x:c r="B27" s="134" t="s">
        <x:v>162</x:v>
      </x:c>
      <x:c r="C27" s="73" t="s">
        <x:v>163</x:v>
      </x:c>
      <x:c r="D27" s="73" t="s">
        <x:v>164</x:v>
      </x:c>
      <x:c r="E27" s="73" t="s">
        <x:v>165</x:v>
      </x:c>
      <x:c r="F27" s="119">
        <x:f t="shared" si="1"/>
        <x:v>21</x:v>
      </x:c>
      <x:c r="G27" s="138">
        <x:v>21</x:v>
      </x:c>
      <x:c r="H27" s="139"/>
      <x:c r="I27" s="139"/>
      <x:c r="J27" s="139"/>
      <x:c r="K27" s="139"/>
      <x:c r="L27" s="74">
        <x:v>0.4861111111111111</x:v>
      </x:c>
      <x:c r="M27" s="73" t="s">
        <x:v>129</x:v>
      </x:c>
      <x:c r="N27" s="73"/>
      <x:c r="O27" s="75" t="s">
        <x:v>28</x:v>
      </x:c>
      <x:c r="P27" s="85" t="s">
        <x:v>29</x:v>
      </x:c>
      <x:c r="Q27" s="73" t="s">
        <x:v>37</x:v>
      </x:c>
      <x:c r="R27" s="73" t="s">
        <x:v>166</x:v>
      </x:c>
      <x:c r="S27" s="142"/>
    </x:row>
    <x:row r="28" ht="54.75" customHeight="1">
      <x:c r="A28" s="76">
        <x:v>23</x:v>
      </x:c>
      <x:c r="B28" s="134" t="s">
        <x:v>167</x:v>
      </x:c>
      <x:c r="C28" s="73" t="s">
        <x:v>168</x:v>
      </x:c>
      <x:c r="D28" s="73" t="s">
        <x:v>169</x:v>
      </x:c>
      <x:c r="E28" s="73" t="s">
        <x:v>169</x:v>
      </x:c>
      <x:c r="F28" s="119">
        <x:f t="shared" si="1"/>
        <x:v>63</x:v>
      </x:c>
      <x:c r="G28" s="138">
        <x:v>22</x:v>
      </x:c>
      <x:c r="H28" s="139">
        <x:v>21</x:v>
      </x:c>
      <x:c r="I28" s="139"/>
      <x:c r="J28" s="139"/>
      <x:c r="K28" s="139">
        <x:v>20</x:v>
      </x:c>
      <x:c r="L28" s="74">
        <x:v>0.49305555555555558</x:v>
      </x:c>
      <x:c r="M28" s="73" t="s">
        <x:v>147</x:v>
      </x:c>
      <x:c r="N28" s="73"/>
      <x:c r="O28" s="75" t="s">
        <x:v>67</x:v>
      </x:c>
      <x:c r="P28" s="85" t="s">
        <x:v>29</x:v>
      </x:c>
      <x:c r="Q28" s="73" t="s">
        <x:v>37</x:v>
      </x:c>
      <x:c r="R28" s="73" t="s">
        <x:v>170</x:v>
      </x:c>
      <x:c r="S28" s="142"/>
    </x:row>
    <x:row r="29" ht="54.75" customHeight="1">
      <x:c r="A29" s="76">
        <x:v>24</x:v>
      </x:c>
      <x:c r="B29" s="134" t="s">
        <x:v>171</x:v>
      </x:c>
      <x:c r="C29" s="73" t="s">
        <x:v>172</x:v>
      </x:c>
      <x:c r="D29" s="73" t="s">
        <x:v>173</x:v>
      </x:c>
      <x:c r="E29" s="73" t="s">
        <x:v>174</x:v>
      </x:c>
      <x:c r="F29" s="119">
        <x:f t="shared" si="1"/>
        <x:v>17</x:v>
      </x:c>
      <x:c r="G29" s="138">
        <x:v>17</x:v>
      </x:c>
      <x:c r="H29" s="139"/>
      <x:c r="I29" s="139"/>
      <x:c r="J29" s="139"/>
      <x:c r="K29" s="139"/>
      <x:c r="L29" s="74">
        <x:v>0.5</x:v>
      </x:c>
      <x:c r="M29" s="73" t="s">
        <x:v>175</x:v>
      </x:c>
      <x:c r="N29" s="73"/>
      <x:c r="O29" s="75" t="s">
        <x:v>106</x:v>
      </x:c>
      <x:c r="P29" s="85" t="s">
        <x:v>29</x:v>
      </x:c>
      <x:c r="Q29" s="73" t="s">
        <x:v>37</x:v>
      </x:c>
      <x:c r="R29" s="73" t="s">
        <x:v>176</x:v>
      </x:c>
      <x:c r="S29" s="142"/>
    </x:row>
    <x:row r="30" ht="54.75" customHeight="1">
      <x:c r="A30" s="76">
        <x:v>25</x:v>
      </x:c>
      <x:c r="B30" s="134" t="s">
        <x:v>177</x:v>
      </x:c>
      <x:c r="C30" s="73" t="s">
        <x:v>163</x:v>
      </x:c>
      <x:c r="D30" s="73" t="s">
        <x:v>178</x:v>
      </x:c>
      <x:c r="E30" s="73" t="s">
        <x:v>179</x:v>
      </x:c>
      <x:c r="F30" s="119">
        <x:f t="shared" si="1"/>
        <x:v>85</x:v>
      </x:c>
      <x:c r="G30" s="138">
        <x:v>23</x:v>
      </x:c>
      <x:c r="H30" s="139">
        <x:v>22</x:v>
      </x:c>
      <x:c r="I30" s="139">
        <x:v>19</x:v>
      </x:c>
      <x:c r="J30" s="139"/>
      <x:c r="K30" s="139">
        <x:v>21</x:v>
      </x:c>
      <x:c r="L30" s="74">
        <x:v>0.47916666666666669</x:v>
      </x:c>
      <x:c r="M30" s="73" t="s">
        <x:v>180</x:v>
      </x:c>
      <x:c r="N30" s="73"/>
      <x:c r="O30" s="75" t="s">
        <x:v>181</x:v>
      </x:c>
      <x:c r="P30" s="85" t="s">
        <x:v>29</x:v>
      </x:c>
      <x:c r="Q30" s="73" t="s">
        <x:v>37</x:v>
      </x:c>
      <x:c r="R30" s="73" t="s">
        <x:v>182</x:v>
      </x:c>
      <x:c r="S30" s="142"/>
    </x:row>
    <x:row r="31" ht="54.75" customHeight="1">
      <x:c r="A31" s="76">
        <x:v>26</x:v>
      </x:c>
      <x:c r="B31" s="134" t="s">
        <x:v>183</x:v>
      </x:c>
      <x:c r="C31" s="73" t="s">
        <x:v>184</x:v>
      </x:c>
      <x:c r="D31" s="73" t="s">
        <x:v>185</x:v>
      </x:c>
      <x:c r="E31" s="73" t="s">
        <x:v>186</x:v>
      </x:c>
      <x:c r="F31" s="119">
        <x:f t="shared" si="1"/>
        <x:v>32</x:v>
      </x:c>
      <x:c r="G31" s="138">
        <x:v>15</x:v>
      </x:c>
      <x:c r="H31" s="139">
        <x:v>17</x:v>
      </x:c>
      <x:c r="I31" s="139"/>
      <x:c r="J31" s="139"/>
      <x:c r="K31" s="139"/>
      <x:c r="L31" s="74">
        <x:v>0.4861111111111111</x:v>
      </x:c>
      <x:c r="M31" s="73" t="s">
        <x:v>187</x:v>
      </x:c>
      <x:c r="N31" s="73"/>
      <x:c r="O31" s="75" t="s">
        <x:v>106</x:v>
      </x:c>
      <x:c r="P31" s="85" t="s">
        <x:v>29</x:v>
      </x:c>
      <x:c r="Q31" s="73" t="s">
        <x:v>45</x:v>
      </x:c>
      <x:c r="R31" s="73" t="s">
        <x:v>188</x:v>
      </x:c>
      <x:c r="S31" s="142"/>
    </x:row>
    <x:row r="32" ht="54.75" customHeight="1">
      <x:c r="A32" s="76">
        <x:v>27</x:v>
      </x:c>
      <x:c r="B32" s="134" t="s">
        <x:v>189</x:v>
      </x:c>
      <x:c r="C32" s="73" t="s">
        <x:v>190</x:v>
      </x:c>
      <x:c r="D32" s="73" t="s">
        <x:v>191</x:v>
      </x:c>
      <x:c r="E32" s="73" t="s">
        <x:v>192</x:v>
      </x:c>
      <x:c r="F32" s="119">
        <x:f t="shared" si="1"/>
        <x:v>53</x:v>
      </x:c>
      <x:c r="G32" s="138">
        <x:v>19</x:v>
      </x:c>
      <x:c r="H32" s="139">
        <x:v>18</x:v>
      </x:c>
      <x:c r="I32" s="139">
        <x:v>16</x:v>
      </x:c>
      <x:c r="J32" s="139"/>
      <x:c r="K32" s="139"/>
      <x:c r="L32" s="74">
        <x:v>0.47916666666666669</x:v>
      </x:c>
      <x:c r="M32" s="73" t="s">
        <x:v>27</x:v>
      </x:c>
      <x:c r="N32" s="73"/>
      <x:c r="O32" s="75" t="s">
        <x:v>28</x:v>
      </x:c>
      <x:c r="P32" s="85" t="s">
        <x:v>29</x:v>
      </x:c>
      <x:c r="Q32" s="73" t="s">
        <x:v>30</x:v>
      </x:c>
      <x:c r="R32" s="73" t="s">
        <x:v>193</x:v>
      </x:c>
      <x:c r="S32" s="142"/>
    </x:row>
    <x:row r="33" ht="54.75" customHeight="1">
      <x:c r="A33" s="76">
        <x:v>28</x:v>
      </x:c>
      <x:c r="B33" s="134" t="s">
        <x:v>194</x:v>
      </x:c>
      <x:c r="C33" s="73" t="s">
        <x:v>195</x:v>
      </x:c>
      <x:c r="D33" s="73" t="s">
        <x:v>196</x:v>
      </x:c>
      <x:c r="E33" s="73" t="s">
        <x:v>197</x:v>
      </x:c>
      <x:c r="F33" s="119">
        <x:f t="shared" si="1"/>
        <x:v>52</x:v>
      </x:c>
      <x:c r="G33" s="138">
        <x:v>20</x:v>
      </x:c>
      <x:c r="H33" s="139">
        <x:v>21</x:v>
      </x:c>
      <x:c r="I33" s="139"/>
      <x:c r="J33" s="139"/>
      <x:c r="K33" s="139">
        <x:v>11</x:v>
      </x:c>
      <x:c r="L33" s="74">
        <x:v>0.50694444444444442</x:v>
      </x:c>
      <x:c r="M33" s="140" t="s">
        <x:v>198</x:v>
      </x:c>
      <x:c r="N33" s="73" t="s">
        <x:v>43</x:v>
      </x:c>
      <x:c r="O33" s="75" t="s">
        <x:v>106</x:v>
      </x:c>
      <x:c r="P33" s="85" t="s">
        <x:v>29</x:v>
      </x:c>
      <x:c r="Q33" s="73" t="s">
        <x:v>37</x:v>
      </x:c>
      <x:c r="R33" s="73" t="s">
        <x:v>199</x:v>
      </x:c>
      <x:c r="S33" s="142"/>
    </x:row>
    <x:row r="34" ht="54.75" customHeight="1">
      <x:c r="A34" s="76">
        <x:v>29</x:v>
      </x:c>
      <x:c r="B34" s="134" t="s">
        <x:v>200</x:v>
      </x:c>
      <x:c r="C34" s="73" t="s">
        <x:v>201</x:v>
      </x:c>
      <x:c r="D34" s="73" t="s">
        <x:v>202</x:v>
      </x:c>
      <x:c r="E34" s="73" t="s">
        <x:v>202</x:v>
      </x:c>
      <x:c r="F34" s="119">
        <x:f t="shared" si="1"/>
        <x:v>45</x:v>
      </x:c>
      <x:c r="G34" s="138">
        <x:v>23</x:v>
      </x:c>
      <x:c r="H34" s="139">
        <x:v>22</x:v>
      </x:c>
      <x:c r="I34" s="139"/>
      <x:c r="J34" s="139"/>
      <x:c r="K34" s="139"/>
      <x:c r="L34" s="74">
        <x:v>0.4861111111111111</x:v>
      </x:c>
      <x:c r="M34" s="140" t="s">
        <x:v>203</x:v>
      </x:c>
      <x:c r="N34" s="73"/>
      <x:c r="O34" s="75" t="s">
        <x:v>99</x:v>
      </x:c>
      <x:c r="P34" s="85" t="s">
        <x:v>29</x:v>
      </x:c>
      <x:c r="Q34" s="73" t="s">
        <x:v>37</x:v>
      </x:c>
      <x:c r="R34" s="73" t="s">
        <x:v>204</x:v>
      </x:c>
      <x:c r="S34" s="142"/>
    </x:row>
    <x:row r="35" ht="54.75" customHeight="1">
      <x:c r="A35" s="76">
        <x:v>30</x:v>
      </x:c>
      <x:c r="B35" s="134" t="s">
        <x:v>205</x:v>
      </x:c>
      <x:c r="C35" s="73" t="s">
        <x:v>206</x:v>
      </x:c>
      <x:c r="D35" s="73" t="s">
        <x:v>207</x:v>
      </x:c>
      <x:c r="E35" s="73" t="s">
        <x:v>208</x:v>
      </x:c>
      <x:c r="F35" s="119">
        <x:f t="shared" si="1"/>
        <x:v>13</x:v>
      </x:c>
      <x:c r="G35" s="138">
        <x:v>13</x:v>
      </x:c>
      <x:c r="H35" s="139"/>
      <x:c r="I35" s="139"/>
      <x:c r="J35" s="139"/>
      <x:c r="K35" s="139"/>
      <x:c r="L35" s="74">
        <x:v>0.47916666666666669</x:v>
      </x:c>
      <x:c r="M35" s="140" t="s">
        <x:v>147</x:v>
      </x:c>
      <x:c r="N35" s="73"/>
      <x:c r="O35" s="75" t="s">
        <x:v>67</x:v>
      </x:c>
      <x:c r="P35" s="85" t="s">
        <x:v>29</x:v>
      </x:c>
      <x:c r="Q35" s="73" t="s">
        <x:v>37</x:v>
      </x:c>
      <x:c r="R35" s="73" t="s">
        <x:v>209</x:v>
      </x:c>
      <x:c r="S35" s="142"/>
    </x:row>
    <x:row r="36" ht="54.75" customHeight="1">
      <x:c r="A36" s="76">
        <x:v>31</x:v>
      </x:c>
      <x:c r="B36" s="134" t="s">
        <x:v>210</x:v>
      </x:c>
      <x:c r="C36" s="73" t="s">
        <x:v>211</x:v>
      </x:c>
      <x:c r="D36" s="73" t="s">
        <x:v>212</x:v>
      </x:c>
      <x:c r="E36" s="73" t="s">
        <x:v>213</x:v>
      </x:c>
      <x:c r="F36" s="119">
        <x:f t="shared" si="1"/>
        <x:v>45</x:v>
      </x:c>
      <x:c r="G36" s="138">
        <x:v>23</x:v>
      </x:c>
      <x:c r="H36" s="139">
        <x:v>22</x:v>
      </x:c>
      <x:c r="I36" s="139"/>
      <x:c r="J36" s="139"/>
      <x:c r="K36" s="139"/>
      <x:c r="L36" s="74">
        <x:v>0.5</x:v>
      </x:c>
      <x:c r="M36" s="140" t="s">
        <x:v>117</x:v>
      </x:c>
      <x:c r="N36" s="73"/>
      <x:c r="O36" s="75" t="s">
        <x:v>99</x:v>
      </x:c>
      <x:c r="P36" s="85" t="s">
        <x:v>29</x:v>
      </x:c>
      <x:c r="Q36" s="73" t="s">
        <x:v>37</x:v>
      </x:c>
      <x:c r="R36" s="73" t="s">
        <x:v>214</x:v>
      </x:c>
      <x:c r="S36" s="142"/>
    </x:row>
    <x:row r="37" ht="54.75" customHeight="1">
      <x:c r="A37" s="76">
        <x:v>32</x:v>
      </x:c>
      <x:c r="B37" s="134" t="s">
        <x:v>215</x:v>
      </x:c>
      <x:c r="C37" s="73" t="s">
        <x:v>216</x:v>
      </x:c>
      <x:c r="D37" s="73" t="s">
        <x:v>217</x:v>
      </x:c>
      <x:c r="E37" s="73" t="s">
        <x:v>217</x:v>
      </x:c>
      <x:c r="F37" s="119">
        <x:f t="shared" si="1"/>
        <x:v>35</x:v>
      </x:c>
      <x:c r="G37" s="138">
        <x:v>19</x:v>
      </x:c>
      <x:c r="H37" s="139">
        <x:v>16</x:v>
      </x:c>
      <x:c r="I37" s="139"/>
      <x:c r="J37" s="139"/>
      <x:c r="K37" s="139"/>
      <x:c r="L37" s="74">
        <x:v>0.49305555555555558</x:v>
      </x:c>
      <x:c r="M37" s="73" t="s">
        <x:v>153</x:v>
      </x:c>
      <x:c r="N37" s="73"/>
      <x:c r="O37" s="75" t="s">
        <x:v>99</x:v>
      </x:c>
      <x:c r="P37" s="85" t="s">
        <x:v>29</x:v>
      </x:c>
      <x:c r="Q37" s="73" t="s">
        <x:v>45</x:v>
      </x:c>
      <x:c r="R37" s="73" t="s">
        <x:v>218</x:v>
      </x:c>
      <x:c r="S37" s="142"/>
    </x:row>
  </x:sheetData>
  <x:mergeCells>
    <x:mergeCell ref="S3:S4"/>
    <x:mergeCell ref="F3:K3"/>
    <x:mergeCell ref="A1:R1"/>
    <x:mergeCell ref="E3:E4"/>
    <x:mergeCell ref="A5:B5"/>
    <x:mergeCell ref="Q3:R3"/>
    <x:mergeCell ref="L3:P3"/>
    <x:mergeCell ref="A3:A4"/>
    <x:mergeCell ref="B2:R2"/>
    <x:mergeCell ref="B3:B4"/>
    <x:mergeCell ref="C3:C4"/>
    <x:mergeCell ref="D3:D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1" max="1" width="11" style="91" customWidth="1"/>
    <x:col min="2" max="2" width="24.109375" style="107" customWidth="1"/>
    <x:col min="3" max="3" width="28.21875" style="91" customWidth="1"/>
    <x:col min="4" max="4" width="25.77734375" style="91" customWidth="1"/>
    <x:col min="5" max="5" width="21.33203125" style="91" customWidth="1"/>
    <x:col min="6" max="6" width="19" style="91" customWidth="1"/>
    <x:col min="7" max="7" width="27.5546875" style="91" customWidth="1"/>
    <x:col min="8" max="8" width="16.77734375" style="91" customWidth="1"/>
    <x:col min="9" max="9" width="32" style="91" customWidth="1"/>
    <x:col min="10" max="10" width="30.109375" style="91" customWidth="1"/>
    <x:col min="11" max="11" width="11.33203125" style="91" customWidth="1"/>
    <x:col min="12" max="12" width="32.5546875" style="91" customWidth="1"/>
    <x:col min="13" max="13" width="21.21875" style="91" customWidth="1"/>
    <x:col min="14" max="14" width="17.21875" style="91" customWidth="1"/>
    <x:col min="15" max="16384" width="8.88671875" style="91" customWidth="0"/>
  </x:cols>
  <x:sheetData>
    <x:row r="1" ht="56.25" customHeight="1">
      <x:c r="A1" s="196" t="s">
        <x:v>219</x:v>
      </x:c>
      <x:c r="B1" s="196"/>
      <x:c r="C1" s="196"/>
      <x:c r="D1" s="196"/>
      <x:c r="E1" s="196"/>
      <x:c r="F1" s="196"/>
      <x:c r="G1" s="196"/>
      <x:c r="H1" s="196"/>
      <x:c r="I1" s="196"/>
      <x:c r="J1" s="196"/>
      <x:c r="K1" s="196"/>
      <x:c r="L1" s="196"/>
      <x:c r="M1" s="196"/>
      <x:c r="N1" s="90"/>
      <x:c r="O1" s="90"/>
      <x:c r="P1" s="90"/>
    </x:row>
    <x:row r="2" ht="27" customHeight="1">
      <x:c r="A2" s="92"/>
      <x:c r="B2" s="197"/>
      <x:c r="C2" s="197"/>
      <x:c r="D2" s="197"/>
      <x:c r="E2" s="197"/>
      <x:c r="F2" s="197"/>
      <x:c r="G2" s="197"/>
      <x:c r="H2" s="197"/>
      <x:c r="I2" s="197"/>
      <x:c r="J2" s="197"/>
      <x:c r="K2" s="197"/>
      <x:c r="L2" s="197"/>
      <x:c r="M2" s="197"/>
    </x:row>
    <x:row r="3" ht="33">
      <x:c r="A3" s="198" t="s">
        <x:v>1</x:v>
      </x:c>
      <x:c r="B3" s="199" t="s">
        <x:v>220</x:v>
      </x:c>
      <x:c r="C3" s="199" t="s">
        <x:v>221</x:v>
      </x:c>
      <x:c r="D3" s="199" t="s">
        <x:v>222</x:v>
      </x:c>
      <x:c r="E3" s="199" t="s">
        <x:v>5</x:v>
      </x:c>
      <x:c r="F3" s="93" t="s">
        <x:v>223</x:v>
      </x:c>
      <x:c r="G3" s="200" t="s">
        <x:v>7</x:v>
      </x:c>
      <x:c r="H3" s="201"/>
      <x:c r="I3" s="201"/>
      <x:c r="J3" s="201"/>
      <x:c r="K3" s="202"/>
      <x:c r="L3" s="199" t="s">
        <x:v>8</x:v>
      </x:c>
      <x:c r="M3" s="199"/>
      <x:c r="N3" s="194" t="s">
        <x:v>224</x:v>
      </x:c>
    </x:row>
    <x:row r="4" ht="56.25">
      <x:c r="A4" s="198"/>
      <x:c r="B4" s="199"/>
      <x:c r="C4" s="199"/>
      <x:c r="D4" s="199"/>
      <x:c r="E4" s="199"/>
      <x:c r="F4" s="94" t="s">
        <x:v>225</x:v>
      </x:c>
      <x:c r="G4" s="94" t="s">
        <x:v>226</x:v>
      </x:c>
      <x:c r="H4" s="94" t="s">
        <x:v>227</x:v>
      </x:c>
      <x:c r="I4" s="94" t="s">
        <x:v>17</x:v>
      </x:c>
      <x:c r="J4" s="94" t="s">
        <x:v>228</x:v>
      </x:c>
      <x:c r="K4" s="94" t="s">
        <x:v>19</x:v>
      </x:c>
      <x:c r="L4" s="94" t="s">
        <x:v>229</x:v>
      </x:c>
      <x:c r="M4" s="94" t="s">
        <x:v>230</x:v>
      </x:c>
      <x:c r="N4" s="195"/>
    </x:row>
    <x:row r="5" ht="72" customHeight="1">
      <x:c r="A5" s="128">
        <x:v>1</x:v>
      </x:c>
      <x:c r="B5" s="95" t="s">
        <x:v>231</x:v>
      </x:c>
      <x:c r="C5" s="96" t="s">
        <x:v>232</x:v>
      </x:c>
      <x:c r="D5" s="97" t="s">
        <x:v>233</x:v>
      </x:c>
      <x:c r="E5" s="97" t="s">
        <x:v>234</x:v>
      </x:c>
      <x:c r="F5" s="101" t="s">
        <x:v>235</x:v>
      </x:c>
      <x:c r="G5" s="97" t="s">
        <x:v>236</x:v>
      </x:c>
      <x:c r="H5" s="98">
        <x:v>0.49305555555555558</x:v>
      </x:c>
      <x:c r="I5" s="99" t="s">
        <x:v>237</x:v>
      </x:c>
      <x:c r="J5" s="97"/>
      <x:c r="K5" s="103" t="s">
        <x:v>238</x:v>
      </x:c>
      <x:c r="L5" s="97" t="s">
        <x:v>239</x:v>
      </x:c>
      <x:c r="M5" s="97" t="s">
        <x:v>234</x:v>
      </x:c>
      <x:c r="N5" s="100">
        <x:v>175</x:v>
      </x:c>
    </x:row>
    <x:row r="6" ht="72" customHeight="1">
      <x:c r="A6" s="128">
        <x:v>2</x:v>
      </x:c>
      <x:c r="B6" s="95" t="s">
        <x:v>240</x:v>
      </x:c>
      <x:c r="C6" s="96" t="s">
        <x:v>241</x:v>
      </x:c>
      <x:c r="D6" s="96" t="s">
        <x:v>242</x:v>
      </x:c>
      <x:c r="E6" s="96" t="s">
        <x:v>243</x:v>
      </x:c>
      <x:c r="F6" s="101" t="s">
        <x:v>244</x:v>
      </x:c>
      <x:c r="G6" s="96" t="s">
        <x:v>245</x:v>
      </x:c>
      <x:c r="H6" s="102">
        <x:v>0.5</x:v>
      </x:c>
      <x:c r="I6" s="96" t="s">
        <x:v>246</x:v>
      </x:c>
      <x:c r="J6" s="96" t="s">
        <x:v>247</x:v>
      </x:c>
      <x:c r="K6" s="103" t="s">
        <x:v>238</x:v>
      </x:c>
      <x:c r="L6" s="96" t="s">
        <x:v>248</x:v>
      </x:c>
      <x:c r="M6" s="96" t="s">
        <x:v>243</x:v>
      </x:c>
      <x:c r="N6" s="100">
        <x:v>85</x:v>
      </x:c>
    </x:row>
    <x:row r="7" ht="72" customHeight="1">
      <x:c r="A7" s="128">
        <x:v>3</x:v>
      </x:c>
      <x:c r="B7" s="95" t="s">
        <x:v>249</x:v>
      </x:c>
      <x:c r="C7" s="96" t="s">
        <x:v>102</x:v>
      </x:c>
      <x:c r="D7" s="96" t="s">
        <x:v>250</x:v>
      </x:c>
      <x:c r="E7" s="96" t="s">
        <x:v>251</x:v>
      </x:c>
      <x:c r="F7" s="101" t="s">
        <x:v>252</x:v>
      </x:c>
      <x:c r="G7" s="102">
        <x:v>0.49305555555555558</x:v>
      </x:c>
      <x:c r="H7" s="102">
        <x:v>0.5</x:v>
      </x:c>
      <x:c r="I7" s="96" t="s">
        <x:v>253</x:v>
      </x:c>
      <x:c r="J7" s="96" t="s">
        <x:v>247</x:v>
      </x:c>
      <x:c r="K7" s="103" t="s">
        <x:v>181</x:v>
      </x:c>
      <x:c r="L7" s="96" t="s">
        <x:v>254</x:v>
      </x:c>
      <x:c r="M7" s="96" t="s">
        <x:v>251</x:v>
      </x:c>
      <x:c r="N7" s="100">
        <x:v>46</x:v>
      </x:c>
    </x:row>
    <x:row r="8" ht="72" customHeight="1">
      <x:c r="A8" s="128">
        <x:v>4</x:v>
      </x:c>
      <x:c r="B8" s="95" t="s">
        <x:v>255</x:v>
      </x:c>
      <x:c r="C8" s="100" t="s">
        <x:v>114</x:v>
      </x:c>
      <x:c r="D8" s="96" t="s">
        <x:v>256</x:v>
      </x:c>
      <x:c r="E8" s="96" t="s">
        <x:v>257</x:v>
      </x:c>
      <x:c r="F8" s="101" t="s">
        <x:v>258</x:v>
      </x:c>
      <x:c r="G8" s="96" t="s">
        <x:v>236</x:v>
      </x:c>
      <x:c r="H8" s="102">
        <x:v>0.49305555555555558</x:v>
      </x:c>
      <x:c r="I8" s="96" t="s">
        <x:v>259</x:v>
      </x:c>
      <x:c r="J8" s="96"/>
      <x:c r="K8" s="103" t="s">
        <x:v>181</x:v>
      </x:c>
      <x:c r="L8" s="96" t="s">
        <x:v>260</x:v>
      </x:c>
      <x:c r="M8" s="96" t="s">
        <x:v>261</x:v>
      </x:c>
      <x:c r="N8" s="100">
        <x:v>226</x:v>
      </x:c>
    </x:row>
    <x:row r="9" ht="72" customHeight="1">
      <x:c r="A9" s="128">
        <x:v>5</x:v>
      </x:c>
      <x:c r="B9" s="95" t="s">
        <x:v>262</x:v>
      </x:c>
      <x:c r="C9" s="96" t="s">
        <x:v>263</x:v>
      </x:c>
      <x:c r="D9" s="96" t="s">
        <x:v>264</x:v>
      </x:c>
      <x:c r="E9" s="96" t="s">
        <x:v>265</x:v>
      </x:c>
      <x:c r="F9" s="101" t="s">
        <x:v>266</x:v>
      </x:c>
      <x:c r="G9" s="96" t="s">
        <x:v>267</x:v>
      </x:c>
      <x:c r="H9" s="102">
        <x:v>0.48958333333333331</x:v>
      </x:c>
      <x:c r="I9" s="96" t="s">
        <x:v>268</x:v>
      </x:c>
      <x:c r="J9" s="96"/>
      <x:c r="K9" s="103" t="s">
        <x:v>28</x:v>
      </x:c>
      <x:c r="L9" s="96" t="s">
        <x:v>269</x:v>
      </x:c>
      <x:c r="M9" s="96" t="s">
        <x:v>270</x:v>
      </x:c>
      <x:c r="N9" s="100">
        <x:v>39</x:v>
      </x:c>
    </x:row>
    <x:row r="10" ht="72" customHeight="1">
      <x:c r="A10" s="128">
        <x:v>6</x:v>
      </x:c>
      <x:c r="B10" s="95" t="s">
        <x:v>271</x:v>
      </x:c>
      <x:c r="C10" s="96" t="s">
        <x:v>151</x:v>
      </x:c>
      <x:c r="D10" s="96" t="s">
        <x:v>272</x:v>
      </x:c>
      <x:c r="E10" s="96" t="s">
        <x:v>273</x:v>
      </x:c>
      <x:c r="F10" s="101" t="s">
        <x:v>274</x:v>
      </x:c>
      <x:c r="G10" s="96" t="s">
        <x:v>275</x:v>
      </x:c>
      <x:c r="H10" s="102">
        <x:v>0.47916666666666669</x:v>
      </x:c>
      <x:c r="I10" s="96" t="s">
        <x:v>276</x:v>
      </x:c>
      <x:c r="J10" s="96"/>
      <x:c r="K10" s="103" t="s">
        <x:v>44</x:v>
      </x:c>
      <x:c r="L10" s="96" t="s">
        <x:v>269</x:v>
      </x:c>
      <x:c r="M10" s="96" t="s">
        <x:v>152</x:v>
      </x:c>
      <x:c r="N10" s="100">
        <x:v>72</x:v>
      </x:c>
    </x:row>
    <x:row r="11" ht="72" customHeight="1">
      <x:c r="A11" s="128">
        <x:v>7</x:v>
      </x:c>
      <x:c r="B11" s="95" t="s">
        <x:v>277</x:v>
      </x:c>
      <x:c r="C11" s="96" t="s">
        <x:v>278</x:v>
      </x:c>
      <x:c r="D11" s="96" t="s">
        <x:v>279</x:v>
      </x:c>
      <x:c r="E11" s="96" t="s">
        <x:v>280</x:v>
      </x:c>
      <x:c r="F11" s="101" t="s">
        <x:v>252</x:v>
      </x:c>
      <x:c r="G11" s="96" t="s">
        <x:v>281</x:v>
      </x:c>
      <x:c r="H11" s="102">
        <x:v>0.5</x:v>
      </x:c>
      <x:c r="I11" s="96" t="s">
        <x:v>282</x:v>
      </x:c>
      <x:c r="J11" s="96"/>
      <x:c r="K11" s="103" t="s">
        <x:v>36</x:v>
      </x:c>
      <x:c r="L11" s="96" t="s">
        <x:v>283</x:v>
      </x:c>
      <x:c r="M11" s="96" t="s">
        <x:v>280</x:v>
      </x:c>
      <x:c r="N11" s="100">
        <x:v>22</x:v>
      </x:c>
    </x:row>
    <x:row r="12" ht="72" customHeight="1">
      <x:c r="A12" s="128">
        <x:v>8</x:v>
      </x:c>
      <x:c r="B12" s="95" t="s">
        <x:v>284</x:v>
      </x:c>
      <x:c r="C12" s="96" t="s">
        <x:v>172</x:v>
      </x:c>
      <x:c r="D12" s="96" t="s">
        <x:v>285</x:v>
      </x:c>
      <x:c r="E12" s="96" t="s">
        <x:v>286</x:v>
      </x:c>
      <x:c r="F12" s="101" t="s">
        <x:v>244</x:v>
      </x:c>
      <x:c r="G12" s="96" t="s">
        <x:v>275</x:v>
      </x:c>
      <x:c r="H12" s="102">
        <x:v>0.47916666666666669</x:v>
      </x:c>
      <x:c r="I12" s="96" t="s">
        <x:v>287</x:v>
      </x:c>
      <x:c r="J12" s="96"/>
      <x:c r="K12" s="103" t="s">
        <x:v>106</x:v>
      </x:c>
      <x:c r="L12" s="96" t="s">
        <x:v>288</x:v>
      </x:c>
      <x:c r="M12" s="96" t="s">
        <x:v>289</x:v>
      </x:c>
      <x:c r="N12" s="100">
        <x:v>64</x:v>
      </x:c>
    </x:row>
    <x:row r="13" ht="72" customHeight="1">
      <x:c r="A13" s="128">
        <x:v>9</x:v>
      </x:c>
      <x:c r="B13" s="95" t="s">
        <x:v>290</x:v>
      </x:c>
      <x:c r="C13" s="96" t="s">
        <x:v>190</x:v>
      </x:c>
      <x:c r="D13" s="96" t="s">
        <x:v>291</x:v>
      </x:c>
      <x:c r="E13" s="96" t="s">
        <x:v>292</x:v>
      </x:c>
      <x:c r="F13" s="101" t="s">
        <x:v>235</x:v>
      </x:c>
      <x:c r="G13" s="96" t="s">
        <x:v>236</x:v>
      </x:c>
      <x:c r="H13" s="102">
        <x:v>0.5</x:v>
      </x:c>
      <x:c r="I13" s="96" t="s">
        <x:v>293</x:v>
      </x:c>
      <x:c r="J13" s="96"/>
      <x:c r="K13" s="103" t="s">
        <x:v>294</x:v>
      </x:c>
      <x:c r="L13" s="96" t="s">
        <x:v>288</x:v>
      </x:c>
      <x:c r="M13" s="96" t="s">
        <x:v>295</x:v>
      </x:c>
      <x:c r="N13" s="100">
        <x:v>101</x:v>
      </x:c>
    </x:row>
    <x:row r="14" s="106" customFormat="1" ht="72" customHeight="1">
      <x:c r="A14" s="104"/>
      <x:c r="B14" s="105" t="s">
        <x:v>296</x:v>
      </x:c>
      <x:c r="C14" s="104"/>
      <x:c r="D14" s="104"/>
      <x:c r="E14" s="104"/>
      <x:c r="F14" s="104" t="s">
        <x:v>297</x:v>
      </x:c>
      <x:c r="G14" s="104"/>
      <x:c r="H14" s="104"/>
      <x:c r="I14" s="104"/>
      <x:c r="J14" s="104"/>
      <x:c r="K14" s="104"/>
      <x:c r="L14" s="104"/>
      <x:c r="M14" s="104"/>
      <x:c r="N14" s="153" t="n">
        <x:f>SUM(N5:N13)</x:f>
        <x:v>830</x:v>
      </x:c>
    </x:row>
  </x:sheetData>
  <x:mergeCells>
    <x:mergeCell ref="N3:N4"/>
    <x:mergeCell ref="A1:M1"/>
    <x:mergeCell ref="B2:M2"/>
    <x:mergeCell ref="A3:A4"/>
    <x:mergeCell ref="B3:B4"/>
    <x:mergeCell ref="C3:C4"/>
    <x:mergeCell ref="D3:D4"/>
    <x:mergeCell ref="E3:E4"/>
    <x:mergeCell ref="G3:K3"/>
    <x:mergeCell ref="L3:M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FF0000"/>
  </x:sheetPr>
  <x:sheetFormatPr defaultColWidth="15" defaultRowHeight="13.5"/>
  <x:cols>
    <x:col min="1" max="1" width="11" style="68" customWidth="1"/>
    <x:col min="2" max="2" width="26.33203125" style="68" customWidth="1"/>
    <x:col min="3" max="3" width="29.109375" style="68" customWidth="1"/>
    <x:col min="4" max="5" width="47.21875" style="68" customWidth="1"/>
    <x:col min="6" max="6" width="11.5546875" style="68" customWidth="1"/>
    <x:col min="7" max="7" width="9.77734375" style="68" customWidth="1"/>
    <x:col min="8" max="11" width="7.77734375" style="68" customWidth="1"/>
    <x:col min="12" max="12" width="12.77734375" style="68" customWidth="1"/>
    <x:col min="13" max="13" width="33.44140625" style="68" customWidth="1"/>
    <x:col min="14" max="14" width="31.5546875" style="68" customWidth="1"/>
    <x:col min="15" max="15" width="11.88671875" style="68" customWidth="1"/>
    <x:col min="16" max="82" width="10.5546875" style="68" customWidth="1"/>
    <x:col min="83" max="83" width="15.6640625" style="68" customWidth="1"/>
    <x:col min="84" max="84" width="28.88671875" style="68" customWidth="1"/>
    <x:col min="85" max="85" width="31.77734375" style="133" customWidth="1"/>
    <x:col min="86" max="86" width="22.88671875" style="68" customWidth="1"/>
    <x:col min="87" max="16384" width="15" style="68" customWidth="0"/>
  </x:cols>
  <x:sheetData>
    <x:row r="1" s="121" customFormat="1" ht="48.75" customHeight="1">
      <x:c r="A1" s="120" t="s">
        <x:v>298</x:v>
      </x:c>
      <x:c r="B1" s="120"/>
      <x:c r="C1" s="120"/>
      <x:c r="D1" s="120"/>
      <x:c r="E1" s="120"/>
      <x:c r="F1" s="120"/>
      <x:c r="G1" s="120"/>
      <x:c r="H1" s="120"/>
      <x:c r="I1" s="120"/>
      <x:c r="J1" s="120"/>
      <x:c r="K1" s="120"/>
      <x:c r="L1" s="120"/>
      <x:c r="M1" s="120"/>
      <x:c r="N1" s="120"/>
      <x:c r="O1" s="120"/>
      <x:c r="P1" s="120"/>
      <x:c r="Q1" s="120"/>
      <x:c r="R1" s="120"/>
      <x:c r="S1" s="120"/>
      <x:c r="T1" s="120"/>
      <x:c r="U1" s="120"/>
      <x:c r="V1" s="120"/>
      <x:c r="W1" s="120"/>
      <x:c r="X1" s="120"/>
      <x:c r="Y1" s="120"/>
      <x:c r="Z1" s="120"/>
      <x:c r="AA1" s="120"/>
      <x:c r="AB1" s="120"/>
      <x:c r="AC1" s="120"/>
      <x:c r="AD1" s="120"/>
      <x:c r="AE1" s="120"/>
      <x:c r="AF1" s="120"/>
      <x:c r="AG1" s="120"/>
      <x:c r="AH1" s="120"/>
      <x:c r="AI1" s="120"/>
      <x:c r="AJ1" s="120"/>
      <x:c r="AK1" s="120"/>
      <x:c r="AL1" s="120"/>
      <x:c r="AM1" s="120"/>
      <x:c r="AN1" s="120"/>
      <x:c r="AO1" s="120"/>
      <x:c r="AP1" s="120"/>
      <x:c r="AQ1" s="120"/>
      <x:c r="AR1" s="120"/>
      <x:c r="AS1" s="120"/>
      <x:c r="AT1" s="120"/>
      <x:c r="AU1" s="120"/>
      <x:c r="AV1" s="120"/>
      <x:c r="AW1" s="120"/>
      <x:c r="AX1" s="120"/>
      <x:c r="AY1" s="120"/>
      <x:c r="AZ1" s="120"/>
      <x:c r="BA1" s="120"/>
      <x:c r="BB1" s="120"/>
      <x:c r="BC1" s="120"/>
      <x:c r="BD1" s="120"/>
      <x:c r="BE1" s="120"/>
      <x:c r="BF1" s="120"/>
      <x:c r="BG1" s="120"/>
      <x:c r="BH1" s="120"/>
      <x:c r="BI1" s="120"/>
      <x:c r="BJ1" s="120"/>
      <x:c r="BK1" s="120"/>
      <x:c r="BL1" s="120"/>
      <x:c r="BM1" s="120"/>
      <x:c r="BN1" s="120"/>
      <x:c r="BO1" s="120"/>
      <x:c r="BP1" s="120"/>
      <x:c r="BQ1" s="120"/>
      <x:c r="BR1" s="120"/>
      <x:c r="BS1" s="120"/>
      <x:c r="BT1" s="120"/>
      <x:c r="BU1" s="120"/>
      <x:c r="BV1" s="120"/>
      <x:c r="BW1" s="120"/>
      <x:c r="BX1" s="120"/>
      <x:c r="BY1" s="120"/>
      <x:c r="BZ1" s="120"/>
      <x:c r="CA1" s="120"/>
      <x:c r="CB1" s="120"/>
      <x:c r="CC1" s="120"/>
      <x:c r="CD1" s="120"/>
      <x:c r="CE1" s="120"/>
      <x:c r="CF1" s="120"/>
      <x:c r="CG1" s="132"/>
    </x:row>
    <x:row r="2" s="70" customFormat="1" ht="48.75" customHeight="1">
      <x:c r="A2" s="109"/>
      <x:c r="B2" s="109"/>
      <x:c r="C2" s="109"/>
      <x:c r="D2" s="109"/>
      <x:c r="E2" s="109"/>
      <x:c r="F2" s="109"/>
      <x:c r="G2" s="109"/>
      <x:c r="H2" s="109"/>
      <x:c r="I2" s="109"/>
      <x:c r="J2" s="109"/>
      <x:c r="K2" s="109"/>
      <x:c r="L2" s="109"/>
      <x:c r="M2" s="109"/>
      <x:c r="N2" s="109"/>
      <x:c r="O2" s="109"/>
      <x:c r="P2" s="109"/>
      <x:c r="Q2" s="148"/>
      <x:c r="R2" s="148"/>
      <x:c r="S2" s="148"/>
      <x:c r="T2" s="148"/>
      <x:c r="U2" s="148"/>
      <x:c r="V2" s="148"/>
      <x:c r="W2" s="109"/>
      <x:c r="X2" s="109"/>
      <x:c r="Y2" s="109"/>
      <x:c r="Z2" s="109"/>
      <x:c r="AA2" s="109"/>
      <x:c r="AB2" s="109"/>
      <x:c r="AC2" s="109"/>
      <x:c r="AD2" s="109"/>
      <x:c r="AE2" s="109"/>
      <x:c r="AF2" s="109"/>
      <x:c r="AG2" s="109"/>
      <x:c r="AH2" s="109"/>
      <x:c r="AI2" s="109"/>
      <x:c r="AJ2" s="109"/>
      <x:c r="AK2" s="109"/>
      <x:c r="AL2" s="109"/>
      <x:c r="AM2" s="109"/>
      <x:c r="AN2" s="109"/>
      <x:c r="AO2" s="109"/>
      <x:c r="AP2" s="109"/>
      <x:c r="AQ2" s="109"/>
      <x:c r="AR2" s="109"/>
      <x:c r="AS2" s="109"/>
      <x:c r="AT2" s="109"/>
      <x:c r="AU2" s="109"/>
      <x:c r="AV2" s="109"/>
      <x:c r="AW2" s="109"/>
      <x:c r="AX2" s="109"/>
      <x:c r="AY2" s="109"/>
      <x:c r="AZ2" s="109"/>
      <x:c r="BA2" s="109"/>
      <x:c r="BB2" s="109"/>
      <x:c r="BC2" s="109"/>
      <x:c r="BD2" s="109"/>
      <x:c r="BE2" s="109"/>
      <x:c r="BF2" s="109"/>
      <x:c r="BG2" s="109"/>
      <x:c r="BH2" s="109"/>
      <x:c r="BI2" s="109"/>
      <x:c r="BJ2" s="109"/>
      <x:c r="BK2" s="109"/>
      <x:c r="BL2" s="109"/>
      <x:c r="BM2" s="109"/>
      <x:c r="BN2" s="109"/>
      <x:c r="BO2" s="109"/>
      <x:c r="BP2" s="109"/>
      <x:c r="BQ2" s="109"/>
      <x:c r="BR2" s="109"/>
      <x:c r="BS2" s="109"/>
      <x:c r="BT2" s="109"/>
      <x:c r="BU2" s="109"/>
      <x:c r="BV2" s="109"/>
      <x:c r="BW2" s="109"/>
      <x:c r="BX2" s="109"/>
      <x:c r="BY2" s="109"/>
      <x:c r="BZ2" s="109"/>
      <x:c r="CA2" s="109"/>
      <x:c r="CB2" s="109"/>
      <x:c r="CC2" s="109"/>
      <x:c r="CD2" s="109"/>
      <x:c r="CE2" s="109"/>
      <x:c r="CF2" s="109"/>
      <x:c r="CG2" s="129"/>
    </x:row>
    <x:row r="3" s="70" customFormat="1" ht="48.75" customHeight="1">
      <x:c r="C3" s="122" t="s">
        <x:v>299</x:v>
      </x:c>
      <x:c r="D3" s="109"/>
      <x:c r="E3" s="109"/>
      <x:c r="F3" s="109"/>
      <x:c r="G3" s="109"/>
      <x:c r="H3" s="109"/>
      <x:c r="I3" s="109"/>
      <x:c r="J3" s="109"/>
      <x:c r="K3" s="109"/>
      <x:c r="L3" s="109"/>
      <x:c r="M3" s="109"/>
      <x:c r="N3" s="109"/>
      <x:c r="O3" s="109"/>
      <x:c r="P3" s="109"/>
      <x:c r="Q3" s="148"/>
      <x:c r="R3" s="148"/>
      <x:c r="S3" s="148"/>
      <x:c r="T3" s="148"/>
      <x:c r="U3" s="148"/>
      <x:c r="V3" s="148"/>
      <x:c r="W3" s="109"/>
      <x:c r="X3" s="109"/>
      <x:c r="Y3" s="109"/>
      <x:c r="Z3" s="109"/>
      <x:c r="AA3" s="109"/>
      <x:c r="AB3" s="109"/>
      <x:c r="AC3" s="109"/>
      <x:c r="AD3" s="109"/>
      <x:c r="AE3" s="109"/>
      <x:c r="AF3" s="109"/>
      <x:c r="AG3" s="109"/>
      <x:c r="AH3" s="109"/>
      <x:c r="AI3" s="109"/>
      <x:c r="AJ3" s="109"/>
      <x:c r="AK3" s="109"/>
      <x:c r="AL3" s="109"/>
      <x:c r="AM3" s="109"/>
      <x:c r="AN3" s="109"/>
      <x:c r="AO3" s="109"/>
      <x:c r="AP3" s="109"/>
      <x:c r="AQ3" s="109"/>
      <x:c r="AR3" s="109"/>
      <x:c r="AS3" s="109"/>
      <x:c r="AT3" s="109"/>
      <x:c r="AU3" s="109"/>
      <x:c r="AV3" s="109"/>
      <x:c r="AW3" s="109"/>
      <x:c r="AX3" s="109"/>
      <x:c r="AY3" s="109"/>
      <x:c r="AZ3" s="109"/>
      <x:c r="BA3" s="109"/>
      <x:c r="BB3" s="109"/>
      <x:c r="BC3" s="109"/>
      <x:c r="BD3" s="109"/>
      <x:c r="BE3" s="109"/>
      <x:c r="BF3" s="109"/>
      <x:c r="BG3" s="109"/>
      <x:c r="BH3" s="109"/>
      <x:c r="BI3" s="109"/>
      <x:c r="BJ3" s="109"/>
      <x:c r="BK3" s="109"/>
      <x:c r="BL3" s="109"/>
      <x:c r="BM3" s="109"/>
      <x:c r="BN3" s="109"/>
      <x:c r="BO3" s="109"/>
      <x:c r="BP3" s="109"/>
      <x:c r="BQ3" s="109"/>
      <x:c r="BR3" s="109"/>
      <x:c r="BS3" s="109"/>
      <x:c r="BT3" s="109"/>
      <x:c r="BU3" s="109"/>
      <x:c r="BV3" s="109"/>
      <x:c r="BW3" s="109"/>
      <x:c r="BX3" s="109"/>
      <x:c r="BY3" s="109"/>
      <x:c r="BZ3" s="109"/>
      <x:c r="CA3" s="109"/>
      <x:c r="CB3" s="109"/>
      <x:c r="CC3" s="109"/>
      <x:c r="CD3" s="109"/>
      <x:c r="CE3" s="109"/>
      <x:c r="CF3" s="109"/>
      <x:c r="CG3" s="129"/>
    </x:row>
    <x:row r="4" s="70" customFormat="1" ht="48.75" customHeight="1">
      <x:c r="A4" s="109"/>
      <x:c r="B4" s="109"/>
      <x:c r="C4" s="109"/>
      <x:c r="D4" s="109"/>
      <x:c r="E4" s="109"/>
      <x:c r="F4" s="109"/>
      <x:c r="G4" s="109"/>
      <x:c r="H4" s="109"/>
      <x:c r="I4" s="109"/>
      <x:c r="J4" s="109"/>
      <x:c r="K4" s="109"/>
      <x:c r="L4" s="109"/>
      <x:c r="M4" s="109"/>
      <x:c r="N4" s="109"/>
      <x:c r="O4" s="109"/>
      <x:c r="P4" s="109"/>
      <x:c r="Q4" s="148"/>
      <x:c r="R4" s="148"/>
      <x:c r="S4" s="148"/>
      <x:c r="T4" s="148"/>
      <x:c r="U4" s="148"/>
      <x:c r="V4" s="148"/>
      <x:c r="W4" s="109"/>
      <x:c r="X4" s="109"/>
      <x:c r="Y4" s="109"/>
      <x:c r="Z4" s="109"/>
      <x:c r="AA4" s="109"/>
      <x:c r="AB4" s="109"/>
      <x:c r="AC4" s="109"/>
      <x:c r="AD4" s="109"/>
      <x:c r="AE4" s="109"/>
      <x:c r="AF4" s="109"/>
      <x:c r="AG4" s="109"/>
      <x:c r="AH4" s="109"/>
      <x:c r="AI4" s="109"/>
      <x:c r="AJ4" s="109"/>
      <x:c r="AK4" s="109"/>
      <x:c r="AL4" s="109"/>
      <x:c r="AM4" s="109"/>
      <x:c r="AN4" s="109"/>
      <x:c r="AO4" s="109"/>
      <x:c r="AP4" s="109"/>
      <x:c r="AQ4" s="109"/>
      <x:c r="AR4" s="109"/>
      <x:c r="AS4" s="109"/>
      <x:c r="AT4" s="109"/>
      <x:c r="AU4" s="109"/>
      <x:c r="AV4" s="109"/>
      <x:c r="AW4" s="109"/>
      <x:c r="AX4" s="109"/>
      <x:c r="AY4" s="109"/>
      <x:c r="AZ4" s="109"/>
      <x:c r="BA4" s="109"/>
      <x:c r="BB4" s="109"/>
      <x:c r="BC4" s="109"/>
      <x:c r="BD4" s="109"/>
      <x:c r="BE4" s="109"/>
      <x:c r="BF4" s="109"/>
      <x:c r="BG4" s="109"/>
      <x:c r="BH4" s="109"/>
      <x:c r="BI4" s="109"/>
      <x:c r="BJ4" s="109"/>
      <x:c r="BK4" s="109"/>
      <x:c r="BL4" s="109"/>
      <x:c r="BM4" s="109"/>
      <x:c r="BN4" s="109"/>
      <x:c r="BO4" s="109"/>
      <x:c r="BP4" s="109"/>
      <x:c r="BQ4" s="109"/>
      <x:c r="BR4" s="109"/>
      <x:c r="BS4" s="109"/>
      <x:c r="BT4" s="109"/>
      <x:c r="BU4" s="109"/>
      <x:c r="BV4" s="109"/>
      <x:c r="BW4" s="109"/>
      <x:c r="BX4" s="109"/>
      <x:c r="BY4" s="109"/>
      <x:c r="BZ4" s="109"/>
      <x:c r="CA4" s="109"/>
      <x:c r="CB4" s="109"/>
      <x:c r="CC4" s="109"/>
      <x:c r="CD4" s="109"/>
      <x:c r="CE4" s="109"/>
      <x:c r="CF4" s="109"/>
      <x:c r="CG4" s="129"/>
    </x:row>
    <x:row r="5" s="69" customFormat="1" ht="8.25" customHeight="1">
      <x:c r="B5" s="193"/>
      <x:c r="C5" s="193"/>
      <x:c r="D5" s="193"/>
      <x:c r="E5" s="193"/>
      <x:c r="F5" s="193"/>
      <x:c r="G5" s="193"/>
      <x:c r="H5" s="193"/>
      <x:c r="I5" s="193"/>
      <x:c r="J5" s="193"/>
      <x:c r="K5" s="193"/>
      <x:c r="L5" s="193"/>
      <x:c r="M5" s="193"/>
      <x:c r="N5" s="193"/>
      <x:c r="O5" s="193"/>
      <x:c r="P5" s="193"/>
      <x:c r="Q5" s="193"/>
      <x:c r="R5" s="193"/>
      <x:c r="S5" s="193"/>
      <x:c r="T5" s="193"/>
      <x:c r="U5" s="193"/>
      <x:c r="V5" s="193"/>
      <x:c r="W5" s="193"/>
      <x:c r="X5" s="193"/>
      <x:c r="Y5" s="193"/>
      <x:c r="Z5" s="193"/>
      <x:c r="AA5" s="193"/>
      <x:c r="AB5" s="193"/>
      <x:c r="AC5" s="193"/>
      <x:c r="AD5" s="193"/>
      <x:c r="AE5" s="193"/>
      <x:c r="AF5" s="193"/>
      <x:c r="AG5" s="193"/>
      <x:c r="AH5" s="193"/>
      <x:c r="AI5" s="193"/>
      <x:c r="AJ5" s="193"/>
      <x:c r="AK5" s="193"/>
      <x:c r="AL5" s="193"/>
      <x:c r="AM5" s="193"/>
      <x:c r="AN5" s="193"/>
      <x:c r="AO5" s="193"/>
      <x:c r="AP5" s="193"/>
      <x:c r="AQ5" s="193"/>
      <x:c r="AR5" s="193"/>
      <x:c r="AS5" s="193"/>
      <x:c r="AT5" s="193"/>
      <x:c r="AU5" s="193"/>
      <x:c r="AV5" s="193"/>
      <x:c r="AW5" s="193"/>
      <x:c r="AX5" s="193"/>
      <x:c r="AY5" s="193"/>
      <x:c r="AZ5" s="193"/>
      <x:c r="BA5" s="193"/>
      <x:c r="BB5" s="193"/>
      <x:c r="BC5" s="193"/>
      <x:c r="BD5" s="193"/>
      <x:c r="BE5" s="193"/>
      <x:c r="BF5" s="193"/>
      <x:c r="BG5" s="193"/>
      <x:c r="BH5" s="193"/>
      <x:c r="BI5" s="193"/>
      <x:c r="BJ5" s="193"/>
      <x:c r="BK5" s="193"/>
      <x:c r="BL5" s="193"/>
      <x:c r="BM5" s="193"/>
      <x:c r="BN5" s="193"/>
      <x:c r="BO5" s="193"/>
      <x:c r="BP5" s="193"/>
      <x:c r="BQ5" s="193"/>
      <x:c r="BR5" s="193"/>
      <x:c r="BS5" s="193"/>
      <x:c r="BT5" s="193"/>
      <x:c r="BU5" s="193"/>
      <x:c r="BV5" s="193"/>
      <x:c r="BW5" s="193"/>
      <x:c r="BX5" s="193"/>
      <x:c r="BY5" s="193"/>
      <x:c r="BZ5" s="193"/>
      <x:c r="CA5" s="193"/>
      <x:c r="CB5" s="193"/>
      <x:c r="CC5" s="193"/>
      <x:c r="CD5" s="193"/>
      <x:c r="CE5" s="193"/>
      <x:c r="CF5" s="193"/>
      <x:c r="CG5" s="193"/>
    </x:row>
    <x:row r="6" s="71" customFormat="1" ht="39" customHeight="1">
      <x:c r="A6" s="192" t="s">
        <x:v>1</x:v>
      </x:c>
      <x:c r="B6" s="190" t="s">
        <x:v>2</x:v>
      </x:c>
      <x:c r="C6" s="190" t="s">
        <x:v>3</x:v>
      </x:c>
      <x:c r="D6" s="190" t="s">
        <x:v>4</x:v>
      </x:c>
      <x:c r="E6" s="190" t="s">
        <x:v>5</x:v>
      </x:c>
      <x:c r="F6" s="186" t="s">
        <x:v>6</x:v>
      </x:c>
      <x:c r="G6" s="187"/>
      <x:c r="H6" s="187"/>
      <x:c r="I6" s="187"/>
      <x:c r="J6" s="187"/>
      <x:c r="K6" s="188"/>
      <x:c r="L6" s="190" t="s">
        <x:v>7</x:v>
      </x:c>
      <x:c r="M6" s="190"/>
      <x:c r="N6" s="190"/>
      <x:c r="O6" s="190"/>
      <x:c r="P6" s="190"/>
      <x:c r="Q6" s="186" t="s">
        <x:v>300</x:v>
      </x:c>
      <x:c r="R6" s="187"/>
      <x:c r="S6" s="187"/>
      <x:c r="T6" s="187"/>
      <x:c r="U6" s="187"/>
      <x:c r="V6" s="188"/>
      <x:c r="W6" s="186" t="s">
        <x:v>301</x:v>
      </x:c>
      <x:c r="X6" s="187"/>
      <x:c r="Y6" s="187"/>
      <x:c r="Z6" s="187"/>
      <x:c r="AA6" s="187"/>
      <x:c r="AB6" s="188"/>
      <x:c r="AC6" s="186" t="s">
        <x:v>302</x:v>
      </x:c>
      <x:c r="AD6" s="187"/>
      <x:c r="AE6" s="187"/>
      <x:c r="AF6" s="187"/>
      <x:c r="AG6" s="187"/>
      <x:c r="AH6" s="188"/>
      <x:c r="AI6" s="186" t="s">
        <x:v>303</x:v>
      </x:c>
      <x:c r="AJ6" s="187"/>
      <x:c r="AK6" s="187"/>
      <x:c r="AL6" s="187"/>
      <x:c r="AM6" s="187"/>
      <x:c r="AN6" s="187"/>
      <x:c r="AO6" s="190" t="s">
        <x:v>304</x:v>
      </x:c>
      <x:c r="AP6" s="190"/>
      <x:c r="AQ6" s="190"/>
      <x:c r="AR6" s="190"/>
      <x:c r="AS6" s="190"/>
      <x:c r="AT6" s="190"/>
      <x:c r="AU6" s="190" t="s">
        <x:v>305</x:v>
      </x:c>
      <x:c r="AV6" s="190"/>
      <x:c r="AW6" s="190"/>
      <x:c r="AX6" s="190"/>
      <x:c r="AY6" s="190"/>
      <x:c r="AZ6" s="190"/>
      <x:c r="BA6" s="190" t="s">
        <x:v>306</x:v>
      </x:c>
      <x:c r="BB6" s="190"/>
      <x:c r="BC6" s="190"/>
      <x:c r="BD6" s="190"/>
      <x:c r="BE6" s="190"/>
      <x:c r="BF6" s="190"/>
      <x:c r="BG6" s="190" t="s">
        <x:v>307</x:v>
      </x:c>
      <x:c r="BH6" s="190"/>
      <x:c r="BI6" s="190"/>
      <x:c r="BJ6" s="190"/>
      <x:c r="BK6" s="190"/>
      <x:c r="BL6" s="190"/>
      <x:c r="BM6" s="186" t="s">
        <x:v>308</x:v>
      </x:c>
      <x:c r="BN6" s="187"/>
      <x:c r="BO6" s="187"/>
      <x:c r="BP6" s="187"/>
      <x:c r="BQ6" s="187"/>
      <x:c r="BR6" s="188"/>
      <x:c r="BS6" s="186" t="s">
        <x:v>309</x:v>
      </x:c>
      <x:c r="BT6" s="187"/>
      <x:c r="BU6" s="187"/>
      <x:c r="BV6" s="187"/>
      <x:c r="BW6" s="187"/>
      <x:c r="BX6" s="188"/>
      <x:c r="BY6" s="186" t="s">
        <x:v>310</x:v>
      </x:c>
      <x:c r="BZ6" s="187"/>
      <x:c r="CA6" s="187"/>
      <x:c r="CB6" s="187"/>
      <x:c r="CC6" s="187"/>
      <x:c r="CD6" s="188"/>
      <x:c r="CE6" s="203" t="s">
        <x:v>311</x:v>
      </x:c>
      <x:c r="CF6" s="190" t="s">
        <x:v>8</x:v>
      </x:c>
      <x:c r="CG6" s="190"/>
      <x:c r="CH6" s="185" t="s">
        <x:v>9</x:v>
      </x:c>
    </x:row>
    <x:row r="7" s="71" customFormat="1" ht="57.75" customHeight="1">
      <x:c r="A7" s="192"/>
      <x:c r="B7" s="190"/>
      <x:c r="C7" s="190"/>
      <x:c r="D7" s="190"/>
      <x:c r="E7" s="190"/>
      <x:c r="F7" s="87" t="s">
        <x:v>10</x:v>
      </x:c>
      <x:c r="G7" s="108" t="s">
        <x:v>11</x:v>
      </x:c>
      <x:c r="H7" s="87" t="s">
        <x:v>12</x:v>
      </x:c>
      <x:c r="I7" s="87" t="s">
        <x:v>13</x:v>
      </x:c>
      <x:c r="J7" s="87" t="s">
        <x:v>14</x:v>
      </x:c>
      <x:c r="K7" s="112" t="s">
        <x:v>15</x:v>
      </x:c>
      <x:c r="L7" s="87" t="s">
        <x:v>16</x:v>
      </x:c>
      <x:c r="M7" s="87" t="s">
        <x:v>17</x:v>
      </x:c>
      <x:c r="N7" s="87" t="s">
        <x:v>18</x:v>
      </x:c>
      <x:c r="O7" s="87" t="s">
        <x:v>19</x:v>
      </x:c>
      <x:c r="P7" s="87" t="s">
        <x:v>20</x:v>
      </x:c>
      <x:c r="Q7" s="149" t="s">
        <x:v>312</x:v>
      </x:c>
      <x:c r="R7" s="149" t="s">
        <x:v>12</x:v>
      </x:c>
      <x:c r="S7" s="149" t="s">
        <x:v>13</x:v>
      </x:c>
      <x:c r="T7" s="149" t="s">
        <x:v>14</x:v>
      </x:c>
      <x:c r="U7" s="149" t="s">
        <x:v>15</x:v>
      </x:c>
      <x:c r="V7" s="149" t="s">
        <x:v>313</x:v>
      </x:c>
      <x:c r="W7" s="89" t="s">
        <x:v>312</x:v>
      </x:c>
      <x:c r="X7" s="89" t="s">
        <x:v>12</x:v>
      </x:c>
      <x:c r="Y7" s="89" t="s">
        <x:v>13</x:v>
      </x:c>
      <x:c r="Z7" s="89" t="s">
        <x:v>14</x:v>
      </x:c>
      <x:c r="AA7" s="89" t="s">
        <x:v>15</x:v>
      </x:c>
      <x:c r="AB7" s="89" t="s">
        <x:v>313</x:v>
      </x:c>
      <x:c r="AC7" s="89" t="s">
        <x:v>312</x:v>
      </x:c>
      <x:c r="AD7" s="89" t="s">
        <x:v>12</x:v>
      </x:c>
      <x:c r="AE7" s="89" t="s">
        <x:v>13</x:v>
      </x:c>
      <x:c r="AF7" s="89" t="s">
        <x:v>14</x:v>
      </x:c>
      <x:c r="AG7" s="89" t="s">
        <x:v>15</x:v>
      </x:c>
      <x:c r="AH7" s="89" t="s">
        <x:v>313</x:v>
      </x:c>
      <x:c r="AI7" s="89" t="s">
        <x:v>312</x:v>
      </x:c>
      <x:c r="AJ7" s="89" t="s">
        <x:v>12</x:v>
      </x:c>
      <x:c r="AK7" s="89" t="s">
        <x:v>13</x:v>
      </x:c>
      <x:c r="AL7" s="89" t="s">
        <x:v>14</x:v>
      </x:c>
      <x:c r="AM7" s="89" t="s">
        <x:v>15</x:v>
      </x:c>
      <x:c r="AN7" s="89" t="s">
        <x:v>313</x:v>
      </x:c>
      <x:c r="AO7" s="89" t="s">
        <x:v>312</x:v>
      </x:c>
      <x:c r="AP7" s="89" t="s">
        <x:v>12</x:v>
      </x:c>
      <x:c r="AQ7" s="89" t="s">
        <x:v>13</x:v>
      </x:c>
      <x:c r="AR7" s="89" t="s">
        <x:v>14</x:v>
      </x:c>
      <x:c r="AS7" s="89" t="s">
        <x:v>15</x:v>
      </x:c>
      <x:c r="AT7" s="89" t="s">
        <x:v>313</x:v>
      </x:c>
      <x:c r="AU7" s="89" t="s">
        <x:v>312</x:v>
      </x:c>
      <x:c r="AV7" s="89" t="s">
        <x:v>12</x:v>
      </x:c>
      <x:c r="AW7" s="89" t="s">
        <x:v>13</x:v>
      </x:c>
      <x:c r="AX7" s="89" t="s">
        <x:v>14</x:v>
      </x:c>
      <x:c r="AY7" s="89" t="s">
        <x:v>15</x:v>
      </x:c>
      <x:c r="AZ7" s="89" t="s">
        <x:v>313</x:v>
      </x:c>
      <x:c r="BA7" s="89" t="s">
        <x:v>312</x:v>
      </x:c>
      <x:c r="BB7" s="89" t="s">
        <x:v>12</x:v>
      </x:c>
      <x:c r="BC7" s="89" t="s">
        <x:v>13</x:v>
      </x:c>
      <x:c r="BD7" s="89" t="s">
        <x:v>14</x:v>
      </x:c>
      <x:c r="BE7" s="89" t="s">
        <x:v>15</x:v>
      </x:c>
      <x:c r="BF7" s="89" t="s">
        <x:v>313</x:v>
      </x:c>
      <x:c r="BG7" s="89" t="s">
        <x:v>312</x:v>
      </x:c>
      <x:c r="BH7" s="89" t="s">
        <x:v>12</x:v>
      </x:c>
      <x:c r="BI7" s="89" t="s">
        <x:v>13</x:v>
      </x:c>
      <x:c r="BJ7" s="89" t="s">
        <x:v>14</x:v>
      </x:c>
      <x:c r="BK7" s="89" t="s">
        <x:v>15</x:v>
      </x:c>
      <x:c r="BL7" s="89" t="s">
        <x:v>313</x:v>
      </x:c>
      <x:c r="BM7" s="89" t="s">
        <x:v>312</x:v>
      </x:c>
      <x:c r="BN7" s="89" t="s">
        <x:v>12</x:v>
      </x:c>
      <x:c r="BO7" s="89" t="s">
        <x:v>13</x:v>
      </x:c>
      <x:c r="BP7" s="89" t="s">
        <x:v>14</x:v>
      </x:c>
      <x:c r="BQ7" s="89" t="s">
        <x:v>15</x:v>
      </x:c>
      <x:c r="BR7" s="89" t="s">
        <x:v>313</x:v>
      </x:c>
      <x:c r="BS7" s="89" t="s">
        <x:v>312</x:v>
      </x:c>
      <x:c r="BT7" s="89" t="s">
        <x:v>12</x:v>
      </x:c>
      <x:c r="BU7" s="89" t="s">
        <x:v>13</x:v>
      </x:c>
      <x:c r="BV7" s="89" t="s">
        <x:v>14</x:v>
      </x:c>
      <x:c r="BW7" s="89" t="s">
        <x:v>15</x:v>
      </x:c>
      <x:c r="BX7" s="89" t="s">
        <x:v>313</x:v>
      </x:c>
      <x:c r="BY7" s="89" t="s">
        <x:v>312</x:v>
      </x:c>
      <x:c r="BZ7" s="89" t="s">
        <x:v>12</x:v>
      </x:c>
      <x:c r="CA7" s="89" t="s">
        <x:v>13</x:v>
      </x:c>
      <x:c r="CB7" s="89" t="s">
        <x:v>14</x:v>
      </x:c>
      <x:c r="CC7" s="89" t="s">
        <x:v>15</x:v>
      </x:c>
      <x:c r="CD7" s="89" t="s">
        <x:v>313</x:v>
      </x:c>
      <x:c r="CE7" s="204"/>
      <x:c r="CF7" s="87" t="s">
        <x:v>21</x:v>
      </x:c>
      <x:c r="CG7" s="130" t="s">
        <x:v>22</x:v>
      </x:c>
      <x:c r="CH7" s="185"/>
    </x:row>
    <x:row r="8" s="71" customFormat="1" ht="41.25" customHeight="1">
      <x:c r="A8" s="191"/>
      <x:c r="B8" s="191"/>
      <x:c r="C8" s="88"/>
      <x:c r="D8" s="88"/>
      <x:c r="E8" s="88"/>
      <x:c r="F8" s="118" t="n">
        <x:f t="shared" ref="F8:K8" si="0">SUM(F9:F49)</x:f>
        <x:v>1157</x:v>
      </x:c>
      <x:c r="G8" s="118">
        <x:f t="shared" si="0"/>
        <x:v>631</x:v>
      </x:c>
      <x:c r="H8" s="118">
        <x:f t="shared" si="0"/>
        <x:v>355</x:v>
      </x:c>
      <x:c r="I8" s="118">
        <x:f t="shared" si="0"/>
        <x:v>85</x:v>
      </x:c>
      <x:c r="J8" s="118">
        <x:f t="shared" si="0"/>
        <x:v>20</x:v>
      </x:c>
      <x:c r="K8" s="118">
        <x:f t="shared" si="0"/>
        <x:v>66</x:v>
      </x:c>
      <x:c r="L8" s="88"/>
      <x:c r="M8" s="88"/>
      <x:c r="N8" s="88"/>
      <x:c r="O8" s="88"/>
      <x:c r="P8" s="88"/>
      <x:c r="Q8" s="183" t="n">
        <x:f>SUM(Q9:Q49)</x:f>
        <x:v>3</x:v>
      </x:c>
      <x:c r="R8" s="183" t="n">
        <x:f t="shared" ref="R8:V8" si="1">SUM(R9:R49)</x:f>
        <x:v>0</x:v>
      </x:c>
      <x:c r="S8" s="183">
        <x:f t="shared" si="1"/>
        <x:v>0</x:v>
      </x:c>
      <x:c r="T8" s="183">
        <x:f t="shared" si="1"/>
        <x:v>0</x:v>
      </x:c>
      <x:c r="U8" s="183">
        <x:f t="shared" si="1"/>
        <x:v>0</x:v>
      </x:c>
      <x:c r="V8" s="184">
        <x:f t="shared" si="1"/>
        <x:v>3</x:v>
      </x:c>
      <x:c r="W8" s="113" t="n">
        <x:f t="shared" ref="W8:BB8" si="2">SUM(W9:W49)</x:f>
        <x:v>27</x:v>
      </x:c>
      <x:c r="X8" s="113">
        <x:f t="shared" si="2"/>
        <x:v>0</x:v>
      </x:c>
      <x:c r="Y8" s="113">
        <x:f t="shared" si="2"/>
        <x:v>0</x:v>
      </x:c>
      <x:c r="Z8" s="113">
        <x:f t="shared" si="2"/>
        <x:v>0</x:v>
      </x:c>
      <x:c r="AA8" s="113">
        <x:f t="shared" si="2"/>
        <x:v>0</x:v>
      </x:c>
      <x:c r="AB8" s="114">
        <x:f t="shared" si="2"/>
        <x:v>27</x:v>
      </x:c>
      <x:c r="AC8" s="113">
        <x:f t="shared" si="2"/>
        <x:v>27</x:v>
      </x:c>
      <x:c r="AD8" s="113">
        <x:f t="shared" si="2"/>
        <x:v>0</x:v>
      </x:c>
      <x:c r="AE8" s="113">
        <x:f t="shared" si="2"/>
        <x:v>0</x:v>
      </x:c>
      <x:c r="AF8" s="113">
        <x:f t="shared" si="2"/>
        <x:v>0</x:v>
      </x:c>
      <x:c r="AG8" s="113">
        <x:f t="shared" si="2"/>
        <x:v>0</x:v>
      </x:c>
      <x:c r="AH8" s="114">
        <x:f t="shared" si="2"/>
        <x:v>27</x:v>
      </x:c>
      <x:c r="AI8" s="113">
        <x:f t="shared" si="2"/>
        <x:v>27</x:v>
      </x:c>
      <x:c r="AJ8" s="113">
        <x:f t="shared" si="2"/>
        <x:v>0</x:v>
      </x:c>
      <x:c r="AK8" s="113">
        <x:f t="shared" si="2"/>
        <x:v>0</x:v>
      </x:c>
      <x:c r="AL8" s="113">
        <x:f t="shared" si="2"/>
        <x:v>0</x:v>
      </x:c>
      <x:c r="AM8" s="113">
        <x:f t="shared" si="2"/>
        <x:v>0</x:v>
      </x:c>
      <x:c r="AN8" s="114">
        <x:f t="shared" si="2"/>
        <x:v>27</x:v>
      </x:c>
      <x:c r="AO8" s="113">
        <x:f t="shared" si="2"/>
        <x:v>27</x:v>
      </x:c>
      <x:c r="AP8" s="113">
        <x:f t="shared" si="2"/>
        <x:v>0</x:v>
      </x:c>
      <x:c r="AQ8" s="113">
        <x:f t="shared" si="2"/>
        <x:v>0</x:v>
      </x:c>
      <x:c r="AR8" s="113">
        <x:f t="shared" si="2"/>
        <x:v>0</x:v>
      </x:c>
      <x:c r="AS8" s="113">
        <x:f t="shared" si="2"/>
        <x:v>0</x:v>
      </x:c>
      <x:c r="AT8" s="114">
        <x:f t="shared" si="2"/>
        <x:v>27</x:v>
      </x:c>
      <x:c r="AU8" s="113">
        <x:f t="shared" si="2"/>
        <x:v>37</x:v>
      </x:c>
      <x:c r="AV8" s="113">
        <x:f t="shared" si="2"/>
        <x:v>0</x:v>
      </x:c>
      <x:c r="AW8" s="113">
        <x:f t="shared" si="2"/>
        <x:v>0</x:v>
      </x:c>
      <x:c r="AX8" s="113">
        <x:f t="shared" si="2"/>
        <x:v>0</x:v>
      </x:c>
      <x:c r="AY8" s="113">
        <x:f t="shared" si="2"/>
        <x:v>0</x:v>
      </x:c>
      <x:c r="AZ8" s="114">
        <x:f t="shared" si="2"/>
        <x:v>37</x:v>
      </x:c>
      <x:c r="BA8" s="113">
        <x:f t="shared" si="2"/>
        <x:v>190</x:v>
      </x:c>
      <x:c r="BB8" s="113">
        <x:f t="shared" si="2"/>
        <x:v>67</x:v>
      </x:c>
      <x:c r="BC8" s="113" t="n">
        <x:f t="shared" ref="BC8:CD8" si="3">SUM(BC9:BC49)</x:f>
        <x:v>0</x:v>
      </x:c>
      <x:c r="BD8" s="113">
        <x:f t="shared" si="3"/>
        <x:v>0</x:v>
      </x:c>
      <x:c r="BE8" s="113">
        <x:f t="shared" si="3"/>
        <x:v>14</x:v>
      </x:c>
      <x:c r="BF8" s="114">
        <x:f t="shared" si="3"/>
        <x:v>271</x:v>
      </x:c>
      <x:c r="BG8" s="113">
        <x:f t="shared" si="3"/>
        <x:v>288</x:v>
      </x:c>
      <x:c r="BH8" s="113">
        <x:f t="shared" si="3"/>
        <x:v>128</x:v>
      </x:c>
      <x:c r="BI8" s="113">
        <x:f t="shared" si="3"/>
        <x:v>18</x:v>
      </x:c>
      <x:c r="BJ8" s="113">
        <x:f t="shared" si="3"/>
        <x:v>20</x:v>
      </x:c>
      <x:c r="BK8" s="113">
        <x:f t="shared" si="3"/>
        <x:v>25</x:v>
      </x:c>
      <x:c r="BL8" s="114">
        <x:f t="shared" si="3"/>
        <x:v>479</x:v>
      </x:c>
      <x:c r="BM8" s="113">
        <x:f t="shared" si="3"/>
        <x:v>360</x:v>
      </x:c>
      <x:c r="BN8" s="113">
        <x:f t="shared" si="3"/>
        <x:v>164</x:v>
      </x:c>
      <x:c r="BO8" s="113">
        <x:f t="shared" si="3"/>
        <x:v>48</x:v>
      </x:c>
      <x:c r="BP8" s="113">
        <x:f t="shared" si="3"/>
        <x:v>20</x:v>
      </x:c>
      <x:c r="BQ8" s="113">
        <x:f t="shared" si="3"/>
        <x:v>0</x:v>
      </x:c>
      <x:c r="BR8" s="114">
        <x:f t="shared" si="3"/>
        <x:v>592</x:v>
      </x:c>
      <x:c r="BS8" s="113">
        <x:f t="shared" si="3"/>
        <x:v>460</x:v>
      </x:c>
      <x:c r="BT8" s="113">
        <x:f t="shared" si="3"/>
        <x:v>247</x:v>
      </x:c>
      <x:c r="BU8" s="113">
        <x:f t="shared" si="3"/>
        <x:v>66</x:v>
      </x:c>
      <x:c r="BV8" s="113">
        <x:f t="shared" si="3"/>
        <x:v>20</x:v>
      </x:c>
      <x:c r="BW8" s="113">
        <x:f t="shared" si="3"/>
        <x:v>20</x:v>
      </x:c>
      <x:c r="BX8" s="114">
        <x:f t="shared" si="3"/>
        <x:v>813</x:v>
      </x:c>
      <x:c r="BY8" s="113">
        <x:f t="shared" si="3"/>
        <x:v>460</x:v>
      </x:c>
      <x:c r="BZ8" s="113">
        <x:f t="shared" si="3"/>
        <x:v>247</x:v>
      </x:c>
      <x:c r="CA8" s="113">
        <x:f t="shared" si="3"/>
        <x:v>66</x:v>
      </x:c>
      <x:c r="CB8" s="113">
        <x:f t="shared" si="3"/>
        <x:v>20</x:v>
      </x:c>
      <x:c r="CC8" s="113">
        <x:f t="shared" si="3"/>
        <x:v>20</x:v>
      </x:c>
      <x:c r="CD8" s="114">
        <x:f t="shared" si="3"/>
        <x:v>813</x:v>
      </x:c>
      <x:c r="CE8" s="117" t="n">
        <x:f>SUM(CE9:CE49)</x:f>
        <x:v>3116</x:v>
      </x:c>
      <x:c r="CF8" s="88"/>
      <x:c r="CG8" s="131"/>
      <x:c r="CH8" s="82"/>
    </x:row>
    <x:row r="9" s="72" customFormat="1" ht="54.75" customHeight="1">
      <x:c r="A9" s="76">
        <x:v>1</x:v>
      </x:c>
      <x:c r="B9" s="135" t="s">
        <x:v>23</x:v>
      </x:c>
      <x:c r="C9" s="73" t="s">
        <x:v>24</x:v>
      </x:c>
      <x:c r="D9" s="73" t="s">
        <x:v>25</x:v>
      </x:c>
      <x:c r="E9" s="73" t="s">
        <x:v>26</x:v>
      </x:c>
      <x:c r="F9" s="119" t="n">
        <x:f t="shared" ref="F9:F49" si="4">SUM(G9:K9)</x:f>
        <x:v>45</x:v>
      </x:c>
      <x:c r="G9" s="138">
        <x:v>16</x:v>
      </x:c>
      <x:c r="H9" s="136">
        <x:v>15</x:v>
      </x:c>
      <x:c r="I9" s="136">
        <x:v>14</x:v>
      </x:c>
      <x:c r="J9" s="136"/>
      <x:c r="K9" s="136"/>
      <x:c r="L9" s="74">
        <x:v>0.4861111111111111</x:v>
      </x:c>
      <x:c r="M9" s="73" t="s">
        <x:v>27</x:v>
      </x:c>
      <x:c r="N9" s="73"/>
      <x:c r="O9" s="75" t="s">
        <x:v>28</x:v>
      </x:c>
      <x:c r="P9" s="85" t="s">
        <x:v>29</x:v>
      </x:c>
      <x:c r="Q9" s="151"/>
      <x:c r="R9" s="151"/>
      <x:c r="S9" s="151"/>
      <x:c r="T9" s="151"/>
      <x:c r="U9" s="151"/>
      <x:c r="V9" s="151"/>
      <x:c r="W9" s="115"/>
      <x:c r="X9" s="115"/>
      <x:c r="Y9" s="115"/>
      <x:c r="Z9" s="115"/>
      <x:c r="AA9" s="115"/>
      <x:c r="AB9" s="123" t="n">
        <x:f>SUM(W9:AA9)</x:f>
        <x:v>0</x:v>
      </x:c>
      <x:c r="AC9" s="115"/>
      <x:c r="AD9" s="115"/>
      <x:c r="AE9" s="115"/>
      <x:c r="AF9" s="115"/>
      <x:c r="AG9" s="115"/>
      <x:c r="AH9" s="123" t="n">
        <x:f>SUM(AC9:AG9)</x:f>
        <x:v>0</x:v>
      </x:c>
      <x:c r="AI9" s="115"/>
      <x:c r="AJ9" s="115"/>
      <x:c r="AK9" s="115"/>
      <x:c r="AL9" s="115"/>
      <x:c r="AM9" s="115"/>
      <x:c r="AN9" s="123" t="n">
        <x:f>SUM(AI9:AM9)</x:f>
        <x:v>0</x:v>
      </x:c>
      <x:c r="AO9" s="115"/>
      <x:c r="AP9" s="115"/>
      <x:c r="AQ9" s="115"/>
      <x:c r="AR9" s="115"/>
      <x:c r="AS9" s="115"/>
      <x:c r="AT9" s="123" t="n">
        <x:f>SUM(AO9:AS9)</x:f>
        <x:v>0</x:v>
      </x:c>
      <x:c r="AU9" s="115"/>
      <x:c r="AV9" s="115"/>
      <x:c r="AW9" s="115"/>
      <x:c r="AX9" s="115"/>
      <x:c r="AY9" s="115"/>
      <x:c r="AZ9" s="123" t="n">
        <x:f>SUM(AU9:AY9)</x:f>
        <x:v>0</x:v>
      </x:c>
      <x:c r="BA9" s="115"/>
      <x:c r="BB9" s="115"/>
      <x:c r="BC9" s="115"/>
      <x:c r="BD9" s="115"/>
      <x:c r="BE9" s="115"/>
      <x:c r="BF9" s="123" t="n">
        <x:f>SUM(BA9:BE9)</x:f>
        <x:v>0</x:v>
      </x:c>
      <x:c r="BG9" s="115"/>
      <x:c r="BH9" s="115"/>
      <x:c r="BI9" s="115"/>
      <x:c r="BJ9" s="115"/>
      <x:c r="BK9" s="115"/>
      <x:c r="BL9" s="123" t="n">
        <x:f>SUM(BG9:BK9)</x:f>
        <x:v>0</x:v>
      </x:c>
      <x:c r="BM9" s="138">
        <x:v>16</x:v>
      </x:c>
      <x:c r="BN9" s="136">
        <x:v>15</x:v>
      </x:c>
      <x:c r="BO9" s="136">
        <x:v>14</x:v>
      </x:c>
      <x:c r="BP9" s="136"/>
      <x:c r="BQ9" s="136"/>
      <x:c r="BR9" s="123" t="n">
        <x:f>SUM(BM9:BQ9)</x:f>
        <x:v>45</x:v>
      </x:c>
      <x:c r="BS9" s="138">
        <x:v>16</x:v>
      </x:c>
      <x:c r="BT9" s="136">
        <x:v>15</x:v>
      </x:c>
      <x:c r="BU9" s="136">
        <x:v>14</x:v>
      </x:c>
      <x:c r="BV9" s="136"/>
      <x:c r="BW9" s="136"/>
      <x:c r="BX9" s="123" t="n">
        <x:f>SUM(BS9:BW9)</x:f>
        <x:v>45</x:v>
      </x:c>
      <x:c r="BY9" s="138">
        <x:v>16</x:v>
      </x:c>
      <x:c r="BZ9" s="136">
        <x:v>15</x:v>
      </x:c>
      <x:c r="CA9" s="136">
        <x:v>14</x:v>
      </x:c>
      <x:c r="CB9" s="136"/>
      <x:c r="CC9" s="136"/>
      <x:c r="CD9" s="123" t="n">
        <x:f>SUM(BY9:CC9)</x:f>
        <x:v>45</x:v>
      </x:c>
      <x:c r="CE9" s="146" t="n">
        <x:f>SUM(V9,AB9,AH9,AN9,AT9,AZ9,BF9,BL9,BR9,BX9,CD9)</x:f>
        <x:v>135</x:v>
      </x:c>
      <x:c r="CF9" s="73" t="s">
        <x:v>30</x:v>
      </x:c>
      <x:c r="CG9" s="73" t="s">
        <x:v>31</x:v>
      </x:c>
      <x:c r="CH9" s="84"/>
    </x:row>
    <x:row r="10" s="72" customFormat="1" ht="54.75" customHeight="1">
      <x:c r="A10" s="76">
        <x:v>2</x:v>
      </x:c>
      <x:c r="B10" s="135" t="s">
        <x:v>32</x:v>
      </x:c>
      <x:c r="C10" s="73" t="s">
        <x:v>33</x:v>
      </x:c>
      <x:c r="D10" s="73" t="s">
        <x:v>34</x:v>
      </x:c>
      <x:c r="E10" s="73" t="s">
        <x:v>34</x:v>
      </x:c>
      <x:c r="F10" s="119">
        <x:f t="shared" si="4"/>
        <x:v>12</x:v>
      </x:c>
      <x:c r="G10" s="138">
        <x:v>12</x:v>
      </x:c>
      <x:c r="H10" s="139"/>
      <x:c r="I10" s="139"/>
      <x:c r="J10" s="139"/>
      <x:c r="K10" s="139"/>
      <x:c r="L10" s="74">
        <x:v>0.50694444444444442</x:v>
      </x:c>
      <x:c r="M10" s="73" t="s">
        <x:v>35</x:v>
      </x:c>
      <x:c r="N10" s="73"/>
      <x:c r="O10" s="75" t="s">
        <x:v>36</x:v>
      </x:c>
      <x:c r="P10" s="85" t="s">
        <x:v>29</x:v>
      </x:c>
      <x:c r="Q10" s="151"/>
      <x:c r="R10" s="151"/>
      <x:c r="S10" s="151"/>
      <x:c r="T10" s="151"/>
      <x:c r="U10" s="151"/>
      <x:c r="V10" s="151"/>
      <x:c r="W10" s="115"/>
      <x:c r="X10" s="115"/>
      <x:c r="Y10" s="115"/>
      <x:c r="Z10" s="115"/>
      <x:c r="AA10" s="115"/>
      <x:c r="AB10" s="123" t="n">
        <x:f t="shared" ref="AB10:AB49" si="5">SUM(W10:AA10)</x:f>
        <x:v>0</x:v>
      </x:c>
      <x:c r="AC10" s="115"/>
      <x:c r="AD10" s="115"/>
      <x:c r="AE10" s="115"/>
      <x:c r="AF10" s="115"/>
      <x:c r="AG10" s="115"/>
      <x:c r="AH10" s="123" t="n">
        <x:f t="shared" ref="AH10:AH49" si="6">SUM(AC10:AG10)</x:f>
        <x:v>0</x:v>
      </x:c>
      <x:c r="AI10" s="115"/>
      <x:c r="AJ10" s="115"/>
      <x:c r="AK10" s="115"/>
      <x:c r="AL10" s="115"/>
      <x:c r="AM10" s="115"/>
      <x:c r="AN10" s="123" t="n">
        <x:f t="shared" ref="AN10:AN49" si="7">SUM(AI10:AM10)</x:f>
        <x:v>0</x:v>
      </x:c>
      <x:c r="AO10" s="115"/>
      <x:c r="AP10" s="115"/>
      <x:c r="AQ10" s="115"/>
      <x:c r="AR10" s="115"/>
      <x:c r="AS10" s="115"/>
      <x:c r="AT10" s="123" t="n">
        <x:f t="shared" ref="AT10:AT49" si="8">SUM(AO10:AS10)</x:f>
        <x:v>0</x:v>
      </x:c>
      <x:c r="AU10" s="115"/>
      <x:c r="AV10" s="115"/>
      <x:c r="AW10" s="115"/>
      <x:c r="AX10" s="115"/>
      <x:c r="AY10" s="115"/>
      <x:c r="AZ10" s="123" t="n">
        <x:f t="shared" ref="AZ10:AZ49" si="9">SUM(AU10:AY10)</x:f>
        <x:v>0</x:v>
      </x:c>
      <x:c r="BA10" s="138">
        <x:v>12</x:v>
      </x:c>
      <x:c r="BB10" s="139"/>
      <x:c r="BC10" s="139"/>
      <x:c r="BD10" s="139"/>
      <x:c r="BE10" s="139"/>
      <x:c r="BF10" s="123" t="n">
        <x:f t="shared" ref="BF10:BF49" si="10">SUM(BA10:BE10)</x:f>
        <x:v>12</x:v>
      </x:c>
      <x:c r="BG10" s="138">
        <x:v>12</x:v>
      </x:c>
      <x:c r="BH10" s="139"/>
      <x:c r="BI10" s="139"/>
      <x:c r="BJ10" s="139"/>
      <x:c r="BK10" s="139"/>
      <x:c r="BL10" s="123" t="n">
        <x:f t="shared" ref="BL10:BL49" si="11">SUM(BG10:BK10)</x:f>
        <x:v>12</x:v>
      </x:c>
      <x:c r="BM10" s="138">
        <x:v>12</x:v>
      </x:c>
      <x:c r="BN10" s="139"/>
      <x:c r="BO10" s="139"/>
      <x:c r="BP10" s="139"/>
      <x:c r="BQ10" s="139"/>
      <x:c r="BR10" s="123" t="n">
        <x:f t="shared" ref="BR10:BR49" si="12">SUM(BM10:BQ10)</x:f>
        <x:v>12</x:v>
      </x:c>
      <x:c r="BS10" s="138">
        <x:v>12</x:v>
      </x:c>
      <x:c r="BT10" s="139"/>
      <x:c r="BU10" s="139"/>
      <x:c r="BV10" s="139"/>
      <x:c r="BW10" s="139"/>
      <x:c r="BX10" s="123" t="n">
        <x:f t="shared" ref="BX10:BX49" si="13">SUM(BS10:BW10)</x:f>
        <x:v>12</x:v>
      </x:c>
      <x:c r="BY10" s="138">
        <x:v>12</x:v>
      </x:c>
      <x:c r="BZ10" s="139"/>
      <x:c r="CA10" s="139"/>
      <x:c r="CB10" s="139"/>
      <x:c r="CC10" s="139"/>
      <x:c r="CD10" s="123" t="n">
        <x:f t="shared" ref="CD10:CD49" si="14">SUM(BY10:CC10)</x:f>
        <x:v>12</x:v>
      </x:c>
      <x:c r="CE10" s="146" t="n">
        <x:f t="shared" ref="CE10:CE49" si="15">SUM(V10,AB10,AH10,AN10,AT10,AZ10,BF10,BL10,BR10,BX10,CD10)</x:f>
        <x:v>60</x:v>
      </x:c>
      <x:c r="CF10" s="73" t="s">
        <x:v>37</x:v>
      </x:c>
      <x:c r="CG10" s="73" t="s">
        <x:v>38</x:v>
      </x:c>
      <x:c r="CH10" s="83"/>
    </x:row>
    <x:row r="11" s="72" customFormat="1" ht="54.75" customHeight="1">
      <x:c r="A11" s="76">
        <x:v>3</x:v>
      </x:c>
      <x:c r="B11" s="135" t="s">
        <x:v>39</x:v>
      </x:c>
      <x:c r="C11" s="73" t="s">
        <x:v>40</x:v>
      </x:c>
      <x:c r="D11" s="73" t="s">
        <x:v>41</x:v>
      </x:c>
      <x:c r="E11" s="73" t="s">
        <x:v>41</x:v>
      </x:c>
      <x:c r="F11" s="119">
        <x:f t="shared" si="4"/>
        <x:v>27</x:v>
      </x:c>
      <x:c r="G11" s="138">
        <x:v>14</x:v>
      </x:c>
      <x:c r="H11" s="139">
        <x:v>13</x:v>
      </x:c>
      <x:c r="I11" s="139"/>
      <x:c r="J11" s="139"/>
      <x:c r="K11" s="139"/>
      <x:c r="L11" s="74">
        <x:v>0.50694444444444442</x:v>
      </x:c>
      <x:c r="M11" s="73" t="s">
        <x:v>42</x:v>
      </x:c>
      <x:c r="N11" s="73" t="s">
        <x:v>43</x:v>
      </x:c>
      <x:c r="O11" s="75" t="s">
        <x:v>44</x:v>
      </x:c>
      <x:c r="P11" s="85" t="s">
        <x:v>29</x:v>
      </x:c>
      <x:c r="Q11" s="151"/>
      <x:c r="R11" s="151"/>
      <x:c r="S11" s="151"/>
      <x:c r="T11" s="151"/>
      <x:c r="U11" s="151"/>
      <x:c r="V11" s="151"/>
      <x:c r="W11" s="115"/>
      <x:c r="X11" s="115"/>
      <x:c r="Y11" s="115"/>
      <x:c r="Z11" s="115"/>
      <x:c r="AA11" s="115"/>
      <x:c r="AB11" s="123">
        <x:f t="shared" si="5"/>
        <x:v>0</x:v>
      </x:c>
      <x:c r="AC11" s="115"/>
      <x:c r="AD11" s="115"/>
      <x:c r="AE11" s="115"/>
      <x:c r="AF11" s="115"/>
      <x:c r="AG11" s="115"/>
      <x:c r="AH11" s="123">
        <x:f t="shared" si="6"/>
        <x:v>0</x:v>
      </x:c>
      <x:c r="AI11" s="115"/>
      <x:c r="AJ11" s="115"/>
      <x:c r="AK11" s="115"/>
      <x:c r="AL11" s="115"/>
      <x:c r="AM11" s="115"/>
      <x:c r="AN11" s="123">
        <x:f t="shared" si="7"/>
        <x:v>0</x:v>
      </x:c>
      <x:c r="AO11" s="115"/>
      <x:c r="AP11" s="115"/>
      <x:c r="AQ11" s="115"/>
      <x:c r="AR11" s="115"/>
      <x:c r="AS11" s="115"/>
      <x:c r="AT11" s="123">
        <x:f t="shared" si="8"/>
        <x:v>0</x:v>
      </x:c>
      <x:c r="AU11" s="115"/>
      <x:c r="AV11" s="115"/>
      <x:c r="AW11" s="115"/>
      <x:c r="AX11" s="115"/>
      <x:c r="AY11" s="115"/>
      <x:c r="AZ11" s="123">
        <x:f t="shared" si="9"/>
        <x:v>0</x:v>
      </x:c>
      <x:c r="BA11" s="138">
        <x:v>14</x:v>
      </x:c>
      <x:c r="BB11" s="139">
        <x:v>13</x:v>
      </x:c>
      <x:c r="BC11" s="139"/>
      <x:c r="BD11" s="139"/>
      <x:c r="BE11" s="139"/>
      <x:c r="BF11" s="123">
        <x:f t="shared" si="10"/>
        <x:v>27</x:v>
      </x:c>
      <x:c r="BG11" s="138">
        <x:v>14</x:v>
      </x:c>
      <x:c r="BH11" s="139">
        <x:v>13</x:v>
      </x:c>
      <x:c r="BI11" s="139"/>
      <x:c r="BJ11" s="139"/>
      <x:c r="BK11" s="139"/>
      <x:c r="BL11" s="123">
        <x:f t="shared" si="11"/>
        <x:v>27</x:v>
      </x:c>
      <x:c r="BM11" s="138"/>
      <x:c r="BN11" s="139"/>
      <x:c r="BO11" s="139"/>
      <x:c r="BP11" s="139"/>
      <x:c r="BQ11" s="139"/>
      <x:c r="BR11" s="123">
        <x:f t="shared" si="12"/>
        <x:v>0</x:v>
      </x:c>
      <x:c r="BS11" s="138"/>
      <x:c r="BT11" s="139"/>
      <x:c r="BU11" s="139"/>
      <x:c r="BV11" s="139"/>
      <x:c r="BW11" s="139"/>
      <x:c r="BX11" s="123">
        <x:f t="shared" si="13"/>
        <x:v>0</x:v>
      </x:c>
      <x:c r="BY11" s="138"/>
      <x:c r="BZ11" s="139"/>
      <x:c r="CA11" s="139"/>
      <x:c r="CB11" s="139"/>
      <x:c r="CC11" s="139"/>
      <x:c r="CD11" s="123">
        <x:f t="shared" si="14"/>
        <x:v>0</x:v>
      </x:c>
      <x:c r="CE11" s="146">
        <x:f t="shared" si="15"/>
        <x:v>54</x:v>
      </x:c>
      <x:c r="CF11" s="73" t="s">
        <x:v>45</x:v>
      </x:c>
      <x:c r="CG11" s="73" t="s">
        <x:v>46</x:v>
      </x:c>
      <x:c r="CH11" s="86"/>
    </x:row>
    <x:row r="12" s="72" customFormat="1" ht="54.75" customHeight="1">
      <x:c r="A12" s="76">
        <x:v>4</x:v>
      </x:c>
      <x:c r="B12" s="135" t="s">
        <x:v>47</x:v>
      </x:c>
      <x:c r="C12" s="73" t="s">
        <x:v>48</x:v>
      </x:c>
      <x:c r="D12" s="73" t="s">
        <x:v>49</x:v>
      </x:c>
      <x:c r="E12" s="73" t="s">
        <x:v>50</x:v>
      </x:c>
      <x:c r="F12" s="119">
        <x:f t="shared" si="4"/>
        <x:v>19</x:v>
      </x:c>
      <x:c r="G12" s="138">
        <x:v>19</x:v>
      </x:c>
      <x:c r="H12" s="139"/>
      <x:c r="I12" s="139"/>
      <x:c r="J12" s="139"/>
      <x:c r="K12" s="139"/>
      <x:c r="L12" s="74">
        <x:v>0.49305555555555558</x:v>
      </x:c>
      <x:c r="M12" s="73" t="s">
        <x:v>51</x:v>
      </x:c>
      <x:c r="N12" s="73"/>
      <x:c r="O12" s="75" t="s">
        <x:v>52</x:v>
      </x:c>
      <x:c r="P12" s="85" t="s">
        <x:v>29</x:v>
      </x:c>
      <x:c r="Q12" s="151"/>
      <x:c r="R12" s="151"/>
      <x:c r="S12" s="151"/>
      <x:c r="T12" s="151"/>
      <x:c r="U12" s="151"/>
      <x:c r="V12" s="151"/>
      <x:c r="W12" s="138">
        <x:v>19</x:v>
      </x:c>
      <x:c r="X12" s="139"/>
      <x:c r="Y12" s="139"/>
      <x:c r="Z12" s="139"/>
      <x:c r="AA12" s="139"/>
      <x:c r="AB12" s="123">
        <x:f t="shared" si="5"/>
        <x:v>19</x:v>
      </x:c>
      <x:c r="AC12" s="138">
        <x:v>19</x:v>
      </x:c>
      <x:c r="AD12" s="139"/>
      <x:c r="AE12" s="139"/>
      <x:c r="AF12" s="139"/>
      <x:c r="AG12" s="139"/>
      <x:c r="AH12" s="123">
        <x:f t="shared" si="6"/>
        <x:v>19</x:v>
      </x:c>
      <x:c r="AI12" s="138">
        <x:v>19</x:v>
      </x:c>
      <x:c r="AJ12" s="139"/>
      <x:c r="AK12" s="139"/>
      <x:c r="AL12" s="139"/>
      <x:c r="AM12" s="139"/>
      <x:c r="AN12" s="123">
        <x:f t="shared" si="7"/>
        <x:v>19</x:v>
      </x:c>
      <x:c r="AO12" s="138">
        <x:v>19</x:v>
      </x:c>
      <x:c r="AP12" s="139"/>
      <x:c r="AQ12" s="139"/>
      <x:c r="AR12" s="139"/>
      <x:c r="AS12" s="139"/>
      <x:c r="AT12" s="123">
        <x:f t="shared" si="8"/>
        <x:v>19</x:v>
      </x:c>
      <x:c r="AU12" s="138">
        <x:v>19</x:v>
      </x:c>
      <x:c r="AV12" s="139"/>
      <x:c r="AW12" s="139"/>
      <x:c r="AX12" s="139"/>
      <x:c r="AY12" s="139"/>
      <x:c r="AZ12" s="123">
        <x:f t="shared" si="9"/>
        <x:v>19</x:v>
      </x:c>
      <x:c r="BA12" s="138">
        <x:v>19</x:v>
      </x:c>
      <x:c r="BB12" s="139"/>
      <x:c r="BC12" s="139"/>
      <x:c r="BD12" s="139"/>
      <x:c r="BE12" s="139"/>
      <x:c r="BF12" s="123">
        <x:f t="shared" si="10"/>
        <x:v>19</x:v>
      </x:c>
      <x:c r="BG12" s="138">
        <x:v>19</x:v>
      </x:c>
      <x:c r="BH12" s="139"/>
      <x:c r="BI12" s="139"/>
      <x:c r="BJ12" s="139"/>
      <x:c r="BK12" s="139"/>
      <x:c r="BL12" s="123">
        <x:f t="shared" si="11"/>
        <x:v>19</x:v>
      </x:c>
      <x:c r="BM12" s="138">
        <x:v>19</x:v>
      </x:c>
      <x:c r="BN12" s="139"/>
      <x:c r="BO12" s="139"/>
      <x:c r="BP12" s="139"/>
      <x:c r="BQ12" s="139"/>
      <x:c r="BR12" s="123">
        <x:f t="shared" si="12"/>
        <x:v>19</x:v>
      </x:c>
      <x:c r="BS12" s="138">
        <x:v>19</x:v>
      </x:c>
      <x:c r="BT12" s="139"/>
      <x:c r="BU12" s="139"/>
      <x:c r="BV12" s="139"/>
      <x:c r="BW12" s="139"/>
      <x:c r="BX12" s="123">
        <x:f t="shared" si="13"/>
        <x:v>19</x:v>
      </x:c>
      <x:c r="BY12" s="138">
        <x:v>19</x:v>
      </x:c>
      <x:c r="BZ12" s="139"/>
      <x:c r="CA12" s="139"/>
      <x:c r="CB12" s="139"/>
      <x:c r="CC12" s="139"/>
      <x:c r="CD12" s="123">
        <x:f t="shared" si="14"/>
        <x:v>19</x:v>
      </x:c>
      <x:c r="CE12" s="146">
        <x:f t="shared" si="15"/>
        <x:v>190</x:v>
      </x:c>
      <x:c r="CF12" s="73" t="s">
        <x:v>37</x:v>
      </x:c>
      <x:c r="CG12" s="73" t="s">
        <x:v>53</x:v>
      </x:c>
      <x:c r="CH12" s="84"/>
    </x:row>
    <x:row r="13" s="72" customFormat="1" ht="54.75" customHeight="1">
      <x:c r="A13" s="223">
        <x:v>5</x:v>
      </x:c>
      <x:c r="B13" s="224" t="s">
        <x:v>54</x:v>
      </x:c>
      <x:c r="C13" s="225" t="s">
        <x:v>55</x:v>
      </x:c>
      <x:c r="D13" s="225" t="s">
        <x:v>56</x:v>
      </x:c>
      <x:c r="E13" s="225" t="s">
        <x:v>57</x:v>
      </x:c>
      <x:c r="F13" s="226">
        <x:f t="shared" si="4"/>
        <x:v>16</x:v>
      </x:c>
      <x:c r="G13" s="227">
        <x:v>16</x:v>
      </x:c>
      <x:c r="H13" s="228"/>
      <x:c r="I13" s="228"/>
      <x:c r="J13" s="228"/>
      <x:c r="K13" s="228"/>
      <x:c r="L13" s="229">
        <x:v>0.46527777777777779</x:v>
      </x:c>
      <x:c r="M13" s="225" t="s">
        <x:v>58</x:v>
      </x:c>
      <x:c r="N13" s="225"/>
      <x:c r="O13" s="230" t="s">
        <x:v>59</x:v>
      </x:c>
      <x:c r="P13" s="231" t="s">
        <x:v>60</x:v>
      </x:c>
      <x:c r="Q13" s="232"/>
      <x:c r="R13" s="232"/>
      <x:c r="S13" s="232"/>
      <x:c r="T13" s="232"/>
      <x:c r="U13" s="232"/>
      <x:c r="V13" s="232"/>
      <x:c r="W13" s="233"/>
      <x:c r="X13" s="233"/>
      <x:c r="Y13" s="233"/>
      <x:c r="Z13" s="233"/>
      <x:c r="AA13" s="233"/>
      <x:c r="AB13" s="234">
        <x:f t="shared" si="5"/>
        <x:v>0</x:v>
      </x:c>
      <x:c r="AC13" s="233"/>
      <x:c r="AD13" s="233"/>
      <x:c r="AE13" s="233"/>
      <x:c r="AF13" s="233"/>
      <x:c r="AG13" s="233"/>
      <x:c r="AH13" s="234">
        <x:f t="shared" si="6"/>
        <x:v>0</x:v>
      </x:c>
      <x:c r="AI13" s="233"/>
      <x:c r="AJ13" s="233"/>
      <x:c r="AK13" s="233"/>
      <x:c r="AL13" s="233"/>
      <x:c r="AM13" s="233"/>
      <x:c r="AN13" s="234">
        <x:f t="shared" si="7"/>
        <x:v>0</x:v>
      </x:c>
      <x:c r="AO13" s="233"/>
      <x:c r="AP13" s="233"/>
      <x:c r="AQ13" s="233"/>
      <x:c r="AR13" s="233"/>
      <x:c r="AS13" s="233"/>
      <x:c r="AT13" s="234">
        <x:f t="shared" si="8"/>
        <x:v>0</x:v>
      </x:c>
      <x:c r="AU13" s="233"/>
      <x:c r="AV13" s="233"/>
      <x:c r="AW13" s="233"/>
      <x:c r="AX13" s="233"/>
      <x:c r="AY13" s="233"/>
      <x:c r="AZ13" s="234">
        <x:f t="shared" si="9"/>
        <x:v>0</x:v>
      </x:c>
      <x:c r="BA13" s="233"/>
      <x:c r="BB13" s="233"/>
      <x:c r="BC13" s="233"/>
      <x:c r="BD13" s="233"/>
      <x:c r="BE13" s="233"/>
      <x:c r="BF13" s="234">
        <x:f t="shared" si="10"/>
        <x:v>0</x:v>
      </x:c>
      <x:c r="BG13" s="227">
        <x:v>16</x:v>
      </x:c>
      <x:c r="BH13" s="228"/>
      <x:c r="BI13" s="228"/>
      <x:c r="BJ13" s="228"/>
      <x:c r="BK13" s="228"/>
      <x:c r="BL13" s="234">
        <x:f t="shared" si="11"/>
        <x:v>16</x:v>
      </x:c>
      <x:c r="BM13" s="227">
        <x:v>16</x:v>
      </x:c>
      <x:c r="BN13" s="228"/>
      <x:c r="BO13" s="228"/>
      <x:c r="BP13" s="228"/>
      <x:c r="BQ13" s="228"/>
      <x:c r="BR13" s="234">
        <x:f t="shared" si="12"/>
        <x:v>16</x:v>
      </x:c>
      <x:c r="BS13" s="227">
        <x:v>16</x:v>
      </x:c>
      <x:c r="BT13" s="228"/>
      <x:c r="BU13" s="228"/>
      <x:c r="BV13" s="228"/>
      <x:c r="BW13" s="228"/>
      <x:c r="BX13" s="234">
        <x:f t="shared" si="13"/>
        <x:v>16</x:v>
      </x:c>
      <x:c r="BY13" s="227">
        <x:v>16</x:v>
      </x:c>
      <x:c r="BZ13" s="228"/>
      <x:c r="CA13" s="228"/>
      <x:c r="CB13" s="228"/>
      <x:c r="CC13" s="228"/>
      <x:c r="CD13" s="234">
        <x:f t="shared" si="14"/>
        <x:v>16</x:v>
      </x:c>
      <x:c r="CE13" s="235">
        <x:f t="shared" si="15"/>
        <x:v>64</x:v>
      </x:c>
      <x:c r="CF13" s="225" t="s">
        <x:v>37</x:v>
      </x:c>
      <x:c r="CG13" s="225" t="s">
        <x:v>61</x:v>
      </x:c>
      <x:c r="CH13" s="236"/>
    </x:row>
    <x:row r="14" s="72" customFormat="1" ht="54.75" customHeight="1">
      <x:c r="A14" s="76">
        <x:v>6</x:v>
      </x:c>
      <x:c r="B14" s="135" t="s">
        <x:v>62</x:v>
      </x:c>
      <x:c r="C14" s="73" t="s">
        <x:v>63</x:v>
      </x:c>
      <x:c r="D14" s="73" t="s">
        <x:v>64</x:v>
      </x:c>
      <x:c r="E14" s="73" t="s">
        <x:v>65</x:v>
      </x:c>
      <x:c r="F14" s="119">
        <x:f t="shared" si="4"/>
        <x:v>49</x:v>
      </x:c>
      <x:c r="G14" s="138">
        <x:v>18</x:v>
      </x:c>
      <x:c r="H14" s="139">
        <x:v>17</x:v>
      </x:c>
      <x:c r="I14" s="139"/>
      <x:c r="J14" s="139"/>
      <x:c r="K14" s="139">
        <x:v>14</x:v>
      </x:c>
      <x:c r="L14" s="74">
        <x:v>0.47916666666666669</x:v>
      </x:c>
      <x:c r="M14" s="73" t="s">
        <x:v>66</x:v>
      </x:c>
      <x:c r="N14" s="73" t="s">
        <x:v>43</x:v>
      </x:c>
      <x:c r="O14" s="75" t="s">
        <x:v>67</x:v>
      </x:c>
      <x:c r="P14" s="85" t="s">
        <x:v>29</x:v>
      </x:c>
      <x:c r="Q14" s="151"/>
      <x:c r="R14" s="151"/>
      <x:c r="S14" s="151"/>
      <x:c r="T14" s="151"/>
      <x:c r="U14" s="151"/>
      <x:c r="V14" s="151"/>
      <x:c r="W14" s="138"/>
      <x:c r="X14" s="139"/>
      <x:c r="Y14" s="139"/>
      <x:c r="Z14" s="139"/>
      <x:c r="AA14" s="139"/>
      <x:c r="AB14" s="123">
        <x:f t="shared" si="5"/>
        <x:v>0</x:v>
      </x:c>
      <x:c r="AC14" s="138"/>
      <x:c r="AD14" s="139"/>
      <x:c r="AE14" s="139"/>
      <x:c r="AF14" s="139"/>
      <x:c r="AG14" s="139"/>
      <x:c r="AH14" s="123">
        <x:f t="shared" si="6"/>
        <x:v>0</x:v>
      </x:c>
      <x:c r="AI14" s="138"/>
      <x:c r="AJ14" s="139"/>
      <x:c r="AK14" s="139"/>
      <x:c r="AL14" s="139"/>
      <x:c r="AM14" s="139"/>
      <x:c r="AN14" s="123">
        <x:f t="shared" si="7"/>
        <x:v>0</x:v>
      </x:c>
      <x:c r="AO14" s="115"/>
      <x:c r="AP14" s="115"/>
      <x:c r="AQ14" s="115"/>
      <x:c r="AR14" s="115"/>
      <x:c r="AS14" s="115"/>
      <x:c r="AT14" s="123">
        <x:f t="shared" si="8"/>
        <x:v>0</x:v>
      </x:c>
      <x:c r="AU14" s="115"/>
      <x:c r="AV14" s="115"/>
      <x:c r="AW14" s="115"/>
      <x:c r="AX14" s="115"/>
      <x:c r="AY14" s="115"/>
      <x:c r="AZ14" s="123">
        <x:f t="shared" si="9"/>
        <x:v>0</x:v>
      </x:c>
      <x:c r="BA14" s="138">
        <x:v>18</x:v>
      </x:c>
      <x:c r="BB14" s="139">
        <x:v>17</x:v>
      </x:c>
      <x:c r="BC14" s="139"/>
      <x:c r="BD14" s="139"/>
      <x:c r="BE14" s="139">
        <x:v>14</x:v>
      </x:c>
      <x:c r="BF14" s="123">
        <x:f t="shared" si="10"/>
        <x:v>49</x:v>
      </x:c>
      <x:c r="BG14" s="138">
        <x:v>18</x:v>
      </x:c>
      <x:c r="BH14" s="139">
        <x:v>17</x:v>
      </x:c>
      <x:c r="BI14" s="139"/>
      <x:c r="BJ14" s="139"/>
      <x:c r="BK14" s="139">
        <x:v>14</x:v>
      </x:c>
      <x:c r="BL14" s="123">
        <x:f t="shared" si="11"/>
        <x:v>49</x:v>
      </x:c>
      <x:c r="BM14" s="138"/>
      <x:c r="BN14" s="139"/>
      <x:c r="BO14" s="139"/>
      <x:c r="BP14" s="139"/>
      <x:c r="BQ14" s="139"/>
      <x:c r="BR14" s="123">
        <x:f t="shared" si="12"/>
        <x:v>0</x:v>
      </x:c>
      <x:c r="BS14" s="138"/>
      <x:c r="BT14" s="139"/>
      <x:c r="BU14" s="139"/>
      <x:c r="BV14" s="139"/>
      <x:c r="BW14" s="139"/>
      <x:c r="BX14" s="123">
        <x:f t="shared" si="13"/>
        <x:v>0</x:v>
      </x:c>
      <x:c r="BY14" s="138"/>
      <x:c r="BZ14" s="139"/>
      <x:c r="CA14" s="139"/>
      <x:c r="CB14" s="139"/>
      <x:c r="CC14" s="139"/>
      <x:c r="CD14" s="123">
        <x:f t="shared" si="14"/>
        <x:v>0</x:v>
      </x:c>
      <x:c r="CE14" s="146">
        <x:f t="shared" si="15"/>
        <x:v>98</x:v>
      </x:c>
      <x:c r="CF14" s="73" t="s">
        <x:v>45</x:v>
      </x:c>
      <x:c r="CG14" s="73" t="s">
        <x:v>68</x:v>
      </x:c>
      <x:c r="CH14" s="84"/>
    </x:row>
    <x:row r="15" s="72" customFormat="1" ht="54.75" customHeight="1">
      <x:c r="A15" s="154" t="s">
        <x:v>314</x:v>
      </x:c>
      <x:c r="B15" s="112" t="s">
        <x:v>231</x:v>
      </x:c>
      <x:c r="C15" s="155" t="s">
        <x:v>232</x:v>
      </x:c>
      <x:c r="D15" s="155" t="s">
        <x:v>233</x:v>
      </x:c>
      <x:c r="E15" s="155" t="s">
        <x:v>234</x:v>
      </x:c>
      <x:c r="F15" s="156">
        <x:f t="shared" si="4"/>
        <x:v>9</x:v>
      </x:c>
      <x:c r="G15" s="157">
        <x:v>9</x:v>
      </x:c>
      <x:c r="H15" s="158"/>
      <x:c r="I15" s="158"/>
      <x:c r="J15" s="158"/>
      <x:c r="K15" s="158"/>
      <x:c r="L15" s="159">
        <x:v>0.49305555555555558</x:v>
      </x:c>
      <x:c r="M15" s="155" t="s">
        <x:v>237</x:v>
      </x:c>
      <x:c r="N15" s="155"/>
      <x:c r="O15" s="160" t="s">
        <x:v>238</x:v>
      </x:c>
      <x:c r="P15" s="161" t="s">
        <x:v>60</x:v>
      </x:c>
      <x:c r="Q15" s="162"/>
      <x:c r="R15" s="162"/>
      <x:c r="S15" s="162"/>
      <x:c r="T15" s="162"/>
      <x:c r="U15" s="162"/>
      <x:c r="V15" s="162"/>
      <x:c r="W15" s="163"/>
      <x:c r="X15" s="158"/>
      <x:c r="Y15" s="158"/>
      <x:c r="Z15" s="158"/>
      <x:c r="AA15" s="158"/>
      <x:c r="AB15" s="164">
        <x:f t="shared" si="5"/>
        <x:v>0</x:v>
      </x:c>
      <x:c r="AC15" s="163"/>
      <x:c r="AD15" s="158"/>
      <x:c r="AE15" s="158"/>
      <x:c r="AF15" s="158"/>
      <x:c r="AG15" s="158"/>
      <x:c r="AH15" s="164">
        <x:f t="shared" si="6"/>
        <x:v>0</x:v>
      </x:c>
      <x:c r="AI15" s="163"/>
      <x:c r="AJ15" s="158"/>
      <x:c r="AK15" s="158"/>
      <x:c r="AL15" s="158"/>
      <x:c r="AM15" s="158"/>
      <x:c r="AN15" s="164">
        <x:f t="shared" si="7"/>
        <x:v>0</x:v>
      </x:c>
      <x:c r="AO15" s="165"/>
      <x:c r="AP15" s="165"/>
      <x:c r="AQ15" s="165"/>
      <x:c r="AR15" s="165"/>
      <x:c r="AS15" s="165"/>
      <x:c r="AT15" s="164">
        <x:f t="shared" si="8"/>
        <x:v>0</x:v>
      </x:c>
      <x:c r="AU15" s="163">
        <x:v>10</x:v>
      </x:c>
      <x:c r="AV15" s="165"/>
      <x:c r="AW15" s="165"/>
      <x:c r="AX15" s="165"/>
      <x:c r="AY15" s="165"/>
      <x:c r="AZ15" s="164">
        <x:f t="shared" si="9"/>
        <x:v>10</x:v>
      </x:c>
      <x:c r="BA15" s="157">
        <x:v>9</x:v>
      </x:c>
      <x:c r="BB15" s="158"/>
      <x:c r="BC15" s="158"/>
      <x:c r="BD15" s="158"/>
      <x:c r="BE15" s="158"/>
      <x:c r="BF15" s="166">
        <x:f t="shared" si="10"/>
        <x:v>9</x:v>
      </x:c>
      <x:c r="BG15" s="157">
        <x:v>9</x:v>
      </x:c>
      <x:c r="BH15" s="158"/>
      <x:c r="BI15" s="158"/>
      <x:c r="BJ15" s="158"/>
      <x:c r="BK15" s="158"/>
      <x:c r="BL15" s="166">
        <x:f t="shared" si="11"/>
        <x:v>9</x:v>
      </x:c>
      <x:c r="BM15" s="163">
        <x:v>10</x:v>
      </x:c>
      <x:c r="BN15" s="158"/>
      <x:c r="BO15" s="158"/>
      <x:c r="BP15" s="158"/>
      <x:c r="BQ15" s="158"/>
      <x:c r="BR15" s="164">
        <x:f t="shared" si="12"/>
        <x:v>10</x:v>
      </x:c>
      <x:c r="BS15" s="163">
        <x:v>10</x:v>
      </x:c>
      <x:c r="BT15" s="158"/>
      <x:c r="BU15" s="158"/>
      <x:c r="BV15" s="158"/>
      <x:c r="BW15" s="158"/>
      <x:c r="BX15" s="164">
        <x:f t="shared" si="13"/>
        <x:v>10</x:v>
      </x:c>
      <x:c r="BY15" s="163">
        <x:v>10</x:v>
      </x:c>
      <x:c r="BZ15" s="158"/>
      <x:c r="CA15" s="158"/>
      <x:c r="CB15" s="158"/>
      <x:c r="CC15" s="158"/>
      <x:c r="CD15" s="164">
        <x:f t="shared" si="14"/>
        <x:v>10</x:v>
      </x:c>
      <x:c r="CE15" s="167">
        <x:f t="shared" si="15"/>
        <x:v>58</x:v>
      </x:c>
      <x:c r="CF15" s="168" t="s">
        <x:v>239</x:v>
      </x:c>
      <x:c r="CG15" s="169" t="s">
        <x:v>315</x:v>
      </x:c>
      <x:c r="CH15" s="170"/>
    </x:row>
    <x:row r="16" s="72" customFormat="1" ht="54.75" customHeight="1">
      <x:c r="A16" s="76">
        <x:v>7</x:v>
      </x:c>
      <x:c r="B16" s="135" t="s">
        <x:v>69</x:v>
      </x:c>
      <x:c r="C16" s="73" t="s">
        <x:v>70</x:v>
      </x:c>
      <x:c r="D16" s="73" t="s">
        <x:v>71</x:v>
      </x:c>
      <x:c r="E16" s="73" t="s">
        <x:v>72</x:v>
      </x:c>
      <x:c r="F16" s="119">
        <x:f t="shared" si="4"/>
        <x:v>23</x:v>
      </x:c>
      <x:c r="G16" s="138">
        <x:v>23</x:v>
      </x:c>
      <x:c r="H16" s="139"/>
      <x:c r="I16" s="139"/>
      <x:c r="J16" s="139"/>
      <x:c r="K16" s="139"/>
      <x:c r="L16" s="102">
        <x:v>0.4861111111111111</x:v>
      </x:c>
      <x:c r="M16" s="73" t="s">
        <x:v>73</x:v>
      </x:c>
      <x:c r="N16" s="73"/>
      <x:c r="O16" s="75" t="s">
        <x:v>74</x:v>
      </x:c>
      <x:c r="P16" s="85" t="s">
        <x:v>29</x:v>
      </x:c>
      <x:c r="Q16" s="151"/>
      <x:c r="R16" s="151"/>
      <x:c r="S16" s="151"/>
      <x:c r="T16" s="151"/>
      <x:c r="U16" s="151"/>
      <x:c r="V16" s="151"/>
      <x:c r="W16" s="115"/>
      <x:c r="X16" s="115"/>
      <x:c r="Y16" s="115"/>
      <x:c r="Z16" s="115"/>
      <x:c r="AA16" s="115"/>
      <x:c r="AB16" s="123">
        <x:f t="shared" si="5"/>
        <x:v>0</x:v>
      </x:c>
      <x:c r="AC16" s="115"/>
      <x:c r="AD16" s="115"/>
      <x:c r="AE16" s="115"/>
      <x:c r="AF16" s="115"/>
      <x:c r="AG16" s="115"/>
      <x:c r="AH16" s="123">
        <x:f t="shared" si="6"/>
        <x:v>0</x:v>
      </x:c>
      <x:c r="AI16" s="115"/>
      <x:c r="AJ16" s="115"/>
      <x:c r="AK16" s="115"/>
      <x:c r="AL16" s="115"/>
      <x:c r="AM16" s="115"/>
      <x:c r="AN16" s="123">
        <x:f t="shared" si="7"/>
        <x:v>0</x:v>
      </x:c>
      <x:c r="AO16" s="115"/>
      <x:c r="AP16" s="115"/>
      <x:c r="AQ16" s="115"/>
      <x:c r="AR16" s="115"/>
      <x:c r="AS16" s="115"/>
      <x:c r="AT16" s="123">
        <x:f t="shared" si="8"/>
        <x:v>0</x:v>
      </x:c>
      <x:c r="AU16" s="115"/>
      <x:c r="AV16" s="115"/>
      <x:c r="AW16" s="115"/>
      <x:c r="AX16" s="115"/>
      <x:c r="AY16" s="115"/>
      <x:c r="AZ16" s="123">
        <x:f t="shared" si="9"/>
        <x:v>0</x:v>
      </x:c>
      <x:c r="BA16" s="115"/>
      <x:c r="BB16" s="115"/>
      <x:c r="BC16" s="115"/>
      <x:c r="BD16" s="115"/>
      <x:c r="BE16" s="115"/>
      <x:c r="BF16" s="123">
        <x:f t="shared" si="10"/>
        <x:v>0</x:v>
      </x:c>
      <x:c r="BG16" s="115"/>
      <x:c r="BH16" s="115"/>
      <x:c r="BI16" s="115"/>
      <x:c r="BJ16" s="115"/>
      <x:c r="BK16" s="115"/>
      <x:c r="BL16" s="123">
        <x:f t="shared" si="11"/>
        <x:v>0</x:v>
      </x:c>
      <x:c r="BM16" s="138">
        <x:v>23</x:v>
      </x:c>
      <x:c r="BN16" s="139"/>
      <x:c r="BO16" s="139"/>
      <x:c r="BP16" s="139"/>
      <x:c r="BQ16" s="139"/>
      <x:c r="BR16" s="123">
        <x:f t="shared" si="12"/>
        <x:v>23</x:v>
      </x:c>
      <x:c r="BS16" s="138">
        <x:v>23</x:v>
      </x:c>
      <x:c r="BT16" s="139"/>
      <x:c r="BU16" s="139"/>
      <x:c r="BV16" s="139"/>
      <x:c r="BW16" s="139"/>
      <x:c r="BX16" s="123">
        <x:f t="shared" si="13"/>
        <x:v>23</x:v>
      </x:c>
      <x:c r="BY16" s="138">
        <x:v>23</x:v>
      </x:c>
      <x:c r="BZ16" s="139"/>
      <x:c r="CA16" s="139"/>
      <x:c r="CB16" s="139"/>
      <x:c r="CC16" s="139"/>
      <x:c r="CD16" s="123">
        <x:f t="shared" si="14"/>
        <x:v>23</x:v>
      </x:c>
      <x:c r="CE16" s="146">
        <x:f t="shared" si="15"/>
        <x:v>69</x:v>
      </x:c>
      <x:c r="CF16" s="73" t="s">
        <x:v>37</x:v>
      </x:c>
      <x:c r="CG16" s="73" t="s">
        <x:v>75</x:v>
      </x:c>
      <x:c r="CH16" s="86"/>
    </x:row>
    <x:row r="17" ht="64.5" customHeight="1">
      <x:c r="A17" s="76">
        <x:v>8</x:v>
      </x:c>
      <x:c r="B17" s="135" t="s">
        <x:v>76</x:v>
      </x:c>
      <x:c r="C17" s="73" t="s">
        <x:v>77</x:v>
      </x:c>
      <x:c r="D17" s="73" t="s">
        <x:v>78</x:v>
      </x:c>
      <x:c r="E17" s="73" t="s">
        <x:v>79</x:v>
      </x:c>
      <x:c r="F17" s="119">
        <x:f t="shared" si="4"/>
        <x:v>28</x:v>
      </x:c>
      <x:c r="G17" s="138">
        <x:v>15</x:v>
      </x:c>
      <x:c r="H17" s="139">
        <x:v>13</x:v>
      </x:c>
      <x:c r="I17" s="139"/>
      <x:c r="J17" s="139"/>
      <x:c r="K17" s="139"/>
      <x:c r="L17" s="102">
        <x:v>0.52083333333333337</x:v>
      </x:c>
      <x:c r="M17" s="73" t="s">
        <x:v>80</x:v>
      </x:c>
      <x:c r="N17" s="73"/>
      <x:c r="O17" s="75" t="s">
        <x:v>67</x:v>
      </x:c>
      <x:c r="P17" s="85" t="s">
        <x:v>29</x:v>
      </x:c>
      <x:c r="Q17" s="151"/>
      <x:c r="R17" s="151"/>
      <x:c r="S17" s="151"/>
      <x:c r="T17" s="151"/>
      <x:c r="U17" s="151"/>
      <x:c r="V17" s="151"/>
      <x:c r="W17" s="115"/>
      <x:c r="X17" s="115"/>
      <x:c r="Y17" s="115"/>
      <x:c r="Z17" s="115"/>
      <x:c r="AA17" s="115"/>
      <x:c r="AB17" s="123">
        <x:f t="shared" si="5"/>
        <x:v>0</x:v>
      </x:c>
      <x:c r="AC17" s="115"/>
      <x:c r="AD17" s="115"/>
      <x:c r="AE17" s="115"/>
      <x:c r="AF17" s="115"/>
      <x:c r="AG17" s="115"/>
      <x:c r="AH17" s="123">
        <x:f t="shared" si="6"/>
        <x:v>0</x:v>
      </x:c>
      <x:c r="AI17" s="115"/>
      <x:c r="AJ17" s="115"/>
      <x:c r="AK17" s="115"/>
      <x:c r="AL17" s="115"/>
      <x:c r="AM17" s="115"/>
      <x:c r="AN17" s="123">
        <x:f t="shared" si="7"/>
        <x:v>0</x:v>
      </x:c>
      <x:c r="AO17" s="115"/>
      <x:c r="AP17" s="115"/>
      <x:c r="AQ17" s="115"/>
      <x:c r="AR17" s="115"/>
      <x:c r="AS17" s="115"/>
      <x:c r="AT17" s="123">
        <x:f t="shared" si="8"/>
        <x:v>0</x:v>
      </x:c>
      <x:c r="AU17" s="115"/>
      <x:c r="AV17" s="115"/>
      <x:c r="AW17" s="115"/>
      <x:c r="AX17" s="115"/>
      <x:c r="AY17" s="115"/>
      <x:c r="AZ17" s="123">
        <x:f t="shared" si="9"/>
        <x:v>0</x:v>
      </x:c>
      <x:c r="BA17" s="115"/>
      <x:c r="BB17" s="115"/>
      <x:c r="BC17" s="115"/>
      <x:c r="BD17" s="115"/>
      <x:c r="BE17" s="115"/>
      <x:c r="BF17" s="123">
        <x:f t="shared" si="10"/>
        <x:v>0</x:v>
      </x:c>
      <x:c r="BG17" s="115"/>
      <x:c r="BH17" s="115"/>
      <x:c r="BI17" s="115"/>
      <x:c r="BJ17" s="115"/>
      <x:c r="BK17" s="115"/>
      <x:c r="BL17" s="123">
        <x:f t="shared" si="11"/>
        <x:v>0</x:v>
      </x:c>
      <x:c r="BM17" s="138">
        <x:v>15</x:v>
      </x:c>
      <x:c r="BN17" s="139">
        <x:v>13</x:v>
      </x:c>
      <x:c r="BO17" s="139"/>
      <x:c r="BP17" s="139"/>
      <x:c r="BQ17" s="139"/>
      <x:c r="BR17" s="123">
        <x:f t="shared" si="12"/>
        <x:v>28</x:v>
      </x:c>
      <x:c r="BS17" s="138">
        <x:v>15</x:v>
      </x:c>
      <x:c r="BT17" s="139">
        <x:v>13</x:v>
      </x:c>
      <x:c r="BU17" s="139"/>
      <x:c r="BV17" s="139"/>
      <x:c r="BW17" s="139"/>
      <x:c r="BX17" s="123">
        <x:f t="shared" si="13"/>
        <x:v>28</x:v>
      </x:c>
      <x:c r="BY17" s="138">
        <x:v>15</x:v>
      </x:c>
      <x:c r="BZ17" s="139">
        <x:v>13</x:v>
      </x:c>
      <x:c r="CA17" s="139"/>
      <x:c r="CB17" s="139"/>
      <x:c r="CC17" s="139"/>
      <x:c r="CD17" s="123">
        <x:f t="shared" si="14"/>
        <x:v>28</x:v>
      </x:c>
      <x:c r="CE17" s="146">
        <x:f t="shared" si="15"/>
        <x:v>84</x:v>
      </x:c>
      <x:c r="CF17" s="73" t="s">
        <x:v>45</x:v>
      </x:c>
      <x:c r="CG17" s="73" t="s">
        <x:v>81</x:v>
      </x:c>
      <x:c r="CH17" s="141"/>
    </x:row>
    <x:row r="18" ht="54.75" customHeight="1">
      <x:c r="A18" s="76">
        <x:v>9</x:v>
      </x:c>
      <x:c r="B18" s="135" t="s">
        <x:v>82</x:v>
      </x:c>
      <x:c r="C18" s="73" t="s">
        <x:v>83</x:v>
      </x:c>
      <x:c r="D18" s="73" t="s">
        <x:v>84</x:v>
      </x:c>
      <x:c r="E18" s="73" t="s">
        <x:v>85</x:v>
      </x:c>
      <x:c r="F18" s="119">
        <x:f t="shared" si="4"/>
        <x:v>33</x:v>
      </x:c>
      <x:c r="G18" s="138">
        <x:v>16</x:v>
      </x:c>
      <x:c r="H18" s="139">
        <x:v>17</x:v>
      </x:c>
      <x:c r="I18" s="139"/>
      <x:c r="J18" s="139"/>
      <x:c r="K18" s="139"/>
      <x:c r="L18" s="102">
        <x:v>0.5</x:v>
      </x:c>
      <x:c r="M18" s="73" t="s">
        <x:v>86</x:v>
      </x:c>
      <x:c r="N18" s="73" t="s">
        <x:v>87</x:v>
      </x:c>
      <x:c r="O18" s="75" t="s">
        <x:v>28</x:v>
      </x:c>
      <x:c r="P18" s="85" t="s">
        <x:v>29</x:v>
      </x:c>
      <x:c r="Q18" s="151"/>
      <x:c r="R18" s="151"/>
      <x:c r="S18" s="151"/>
      <x:c r="T18" s="151"/>
      <x:c r="U18" s="151"/>
      <x:c r="V18" s="151"/>
      <x:c r="W18" s="115"/>
      <x:c r="X18" s="115"/>
      <x:c r="Y18" s="115"/>
      <x:c r="Z18" s="115"/>
      <x:c r="AA18" s="115"/>
      <x:c r="AB18" s="123">
        <x:f t="shared" si="5"/>
        <x:v>0</x:v>
      </x:c>
      <x:c r="AC18" s="115"/>
      <x:c r="AD18" s="115"/>
      <x:c r="AE18" s="115"/>
      <x:c r="AF18" s="115"/>
      <x:c r="AG18" s="115"/>
      <x:c r="AH18" s="123">
        <x:f t="shared" si="6"/>
        <x:v>0</x:v>
      </x:c>
      <x:c r="AI18" s="115"/>
      <x:c r="AJ18" s="115"/>
      <x:c r="AK18" s="115"/>
      <x:c r="AL18" s="115"/>
      <x:c r="AM18" s="115"/>
      <x:c r="AN18" s="123">
        <x:f t="shared" si="7"/>
        <x:v>0</x:v>
      </x:c>
      <x:c r="AO18" s="115"/>
      <x:c r="AP18" s="115"/>
      <x:c r="AQ18" s="115"/>
      <x:c r="AR18" s="115"/>
      <x:c r="AS18" s="115"/>
      <x:c r="AT18" s="123">
        <x:f t="shared" si="8"/>
        <x:v>0</x:v>
      </x:c>
      <x:c r="AU18" s="115"/>
      <x:c r="AV18" s="115"/>
      <x:c r="AW18" s="115"/>
      <x:c r="AX18" s="115"/>
      <x:c r="AY18" s="115"/>
      <x:c r="AZ18" s="123">
        <x:f t="shared" si="9"/>
        <x:v>0</x:v>
      </x:c>
      <x:c r="BA18" s="115"/>
      <x:c r="BB18" s="115"/>
      <x:c r="BC18" s="115"/>
      <x:c r="BD18" s="115"/>
      <x:c r="BE18" s="115"/>
      <x:c r="BF18" s="123">
        <x:f t="shared" si="10"/>
        <x:v>0</x:v>
      </x:c>
      <x:c r="BG18" s="115"/>
      <x:c r="BH18" s="115"/>
      <x:c r="BI18" s="115"/>
      <x:c r="BJ18" s="115"/>
      <x:c r="BK18" s="115"/>
      <x:c r="BL18" s="123">
        <x:f t="shared" si="11"/>
        <x:v>0</x:v>
      </x:c>
      <x:c r="BM18" s="115"/>
      <x:c r="BN18" s="115"/>
      <x:c r="BO18" s="115"/>
      <x:c r="BP18" s="115"/>
      <x:c r="BQ18" s="115"/>
      <x:c r="BR18" s="123">
        <x:f t="shared" si="12"/>
        <x:v>0</x:v>
      </x:c>
      <x:c r="BS18" s="138">
        <x:v>16</x:v>
      </x:c>
      <x:c r="BT18" s="139">
        <x:v>17</x:v>
      </x:c>
      <x:c r="BU18" s="139"/>
      <x:c r="BV18" s="139"/>
      <x:c r="BW18" s="139"/>
      <x:c r="BX18" s="123">
        <x:f t="shared" si="13"/>
        <x:v>33</x:v>
      </x:c>
      <x:c r="BY18" s="138">
        <x:v>16</x:v>
      </x:c>
      <x:c r="BZ18" s="139">
        <x:v>17</x:v>
      </x:c>
      <x:c r="CA18" s="139"/>
      <x:c r="CB18" s="139"/>
      <x:c r="CC18" s="139"/>
      <x:c r="CD18" s="123">
        <x:f t="shared" si="14"/>
        <x:v>33</x:v>
      </x:c>
      <x:c r="CE18" s="146">
        <x:f t="shared" si="15"/>
        <x:v>66</x:v>
      </x:c>
      <x:c r="CF18" s="73" t="s">
        <x:v>37</x:v>
      </x:c>
      <x:c r="CG18" s="73" t="s">
        <x:v>88</x:v>
      </x:c>
      <x:c r="CH18" s="142"/>
    </x:row>
    <x:row r="19" ht="54.75" customHeight="1">
      <x:c r="A19" s="76">
        <x:v>10</x:v>
      </x:c>
      <x:c r="B19" s="135" t="s">
        <x:v>89</x:v>
      </x:c>
      <x:c r="C19" s="73" t="s">
        <x:v>90</x:v>
      </x:c>
      <x:c r="D19" s="137" t="s">
        <x:v>91</x:v>
      </x:c>
      <x:c r="E19" s="73" t="s">
        <x:v>92</x:v>
      </x:c>
      <x:c r="F19" s="119">
        <x:f t="shared" si="4"/>
        <x:v>37</x:v>
      </x:c>
      <x:c r="G19" s="138">
        <x:v>19</x:v>
      </x:c>
      <x:c r="H19" s="139">
        <x:v>18</x:v>
      </x:c>
      <x:c r="I19" s="139"/>
      <x:c r="J19" s="139"/>
      <x:c r="K19" s="139"/>
      <x:c r="L19" s="102">
        <x:v>0.4861111111111111</x:v>
      </x:c>
      <x:c r="M19" s="73" t="s">
        <x:v>27</x:v>
      </x:c>
      <x:c r="N19" s="73"/>
      <x:c r="O19" s="75" t="s">
        <x:v>28</x:v>
      </x:c>
      <x:c r="P19" s="85" t="s">
        <x:v>29</x:v>
      </x:c>
      <x:c r="Q19" s="151"/>
      <x:c r="R19" s="151"/>
      <x:c r="S19" s="151"/>
      <x:c r="T19" s="151"/>
      <x:c r="U19" s="151"/>
      <x:c r="V19" s="151"/>
      <x:c r="W19" s="115"/>
      <x:c r="X19" s="115"/>
      <x:c r="Y19" s="115"/>
      <x:c r="Z19" s="115"/>
      <x:c r="AA19" s="115"/>
      <x:c r="AB19" s="123">
        <x:f t="shared" si="5"/>
        <x:v>0</x:v>
      </x:c>
      <x:c r="AC19" s="115"/>
      <x:c r="AD19" s="115"/>
      <x:c r="AE19" s="115"/>
      <x:c r="AF19" s="115"/>
      <x:c r="AG19" s="115"/>
      <x:c r="AH19" s="123">
        <x:f t="shared" si="6"/>
        <x:v>0</x:v>
      </x:c>
      <x:c r="AI19" s="115"/>
      <x:c r="AJ19" s="115"/>
      <x:c r="AK19" s="115"/>
      <x:c r="AL19" s="115"/>
      <x:c r="AM19" s="115"/>
      <x:c r="AN19" s="123">
        <x:f t="shared" si="7"/>
        <x:v>0</x:v>
      </x:c>
      <x:c r="AO19" s="115"/>
      <x:c r="AP19" s="115"/>
      <x:c r="AQ19" s="115"/>
      <x:c r="AR19" s="115"/>
      <x:c r="AS19" s="115"/>
      <x:c r="AT19" s="123">
        <x:f t="shared" si="8"/>
        <x:v>0</x:v>
      </x:c>
      <x:c r="AU19" s="115"/>
      <x:c r="AV19" s="115"/>
      <x:c r="AW19" s="115"/>
      <x:c r="AX19" s="115"/>
      <x:c r="AY19" s="115"/>
      <x:c r="AZ19" s="123">
        <x:f t="shared" si="9"/>
        <x:v>0</x:v>
      </x:c>
      <x:c r="BA19" s="115"/>
      <x:c r="BB19" s="115"/>
      <x:c r="BC19" s="115"/>
      <x:c r="BD19" s="115"/>
      <x:c r="BE19" s="115"/>
      <x:c r="BF19" s="123">
        <x:f t="shared" si="10"/>
        <x:v>0</x:v>
      </x:c>
      <x:c r="BG19" s="115"/>
      <x:c r="BH19" s="115"/>
      <x:c r="BI19" s="115"/>
      <x:c r="BJ19" s="115"/>
      <x:c r="BK19" s="115"/>
      <x:c r="BL19" s="123">
        <x:f t="shared" si="11"/>
        <x:v>0</x:v>
      </x:c>
      <x:c r="BM19" s="138">
        <x:v>19</x:v>
      </x:c>
      <x:c r="BN19" s="139">
        <x:v>18</x:v>
      </x:c>
      <x:c r="BO19" s="139"/>
      <x:c r="BP19" s="139"/>
      <x:c r="BQ19" s="139"/>
      <x:c r="BR19" s="123">
        <x:f t="shared" si="12"/>
        <x:v>37</x:v>
      </x:c>
      <x:c r="BS19" s="138">
        <x:v>19</x:v>
      </x:c>
      <x:c r="BT19" s="139">
        <x:v>18</x:v>
      </x:c>
      <x:c r="BU19" s="139"/>
      <x:c r="BV19" s="139"/>
      <x:c r="BW19" s="139"/>
      <x:c r="BX19" s="123">
        <x:f t="shared" si="13"/>
        <x:v>37</x:v>
      </x:c>
      <x:c r="BY19" s="138">
        <x:v>19</x:v>
      </x:c>
      <x:c r="BZ19" s="139">
        <x:v>18</x:v>
      </x:c>
      <x:c r="CA19" s="139"/>
      <x:c r="CB19" s="139"/>
      <x:c r="CC19" s="139"/>
      <x:c r="CD19" s="123">
        <x:f t="shared" si="14"/>
        <x:v>37</x:v>
      </x:c>
      <x:c r="CE19" s="146">
        <x:f t="shared" si="15"/>
        <x:v>111</x:v>
      </x:c>
      <x:c r="CF19" s="73" t="s">
        <x:v>37</x:v>
      </x:c>
      <x:c r="CG19" s="73" t="s">
        <x:v>93</x:v>
      </x:c>
      <x:c r="CH19" s="142"/>
    </x:row>
    <x:row r="20" ht="54.75" customHeight="1">
      <x:c r="A20" s="154" t="s">
        <x:v>316</x:v>
      </x:c>
      <x:c r="B20" s="112" t="s">
        <x:v>240</x:v>
      </x:c>
      <x:c r="C20" s="155" t="s">
        <x:v>241</x:v>
      </x:c>
      <x:c r="D20" s="173" t="s">
        <x:v>242</x:v>
      </x:c>
      <x:c r="E20" s="155" t="s">
        <x:v>243</x:v>
      </x:c>
      <x:c r="F20" s="156">
        <x:f t="shared" si="4"/>
        <x:v>4</x:v>
      </x:c>
      <x:c r="G20" s="157">
        <x:v>4</x:v>
      </x:c>
      <x:c r="H20" s="158"/>
      <x:c r="I20" s="158"/>
      <x:c r="J20" s="158"/>
      <x:c r="K20" s="158"/>
      <x:c r="L20" s="174">
        <x:v>0.5</x:v>
      </x:c>
      <x:c r="M20" s="155" t="s">
        <x:v>246</x:v>
      </x:c>
      <x:c r="N20" s="155" t="s">
        <x:v>247</x:v>
      </x:c>
      <x:c r="O20" s="160" t="s">
        <x:v>238</x:v>
      </x:c>
      <x:c r="P20" s="161" t="s">
        <x:v>60</x:v>
      </x:c>
      <x:c r="Q20" s="162"/>
      <x:c r="R20" s="162"/>
      <x:c r="S20" s="162"/>
      <x:c r="T20" s="162"/>
      <x:c r="U20" s="162"/>
      <x:c r="V20" s="162"/>
      <x:c r="W20" s="175">
        <x:v>5</x:v>
      </x:c>
      <x:c r="X20" s="165"/>
      <x:c r="Y20" s="165"/>
      <x:c r="Z20" s="165"/>
      <x:c r="AA20" s="165"/>
      <x:c r="AB20" s="164">
        <x:f t="shared" si="5"/>
        <x:v>5</x:v>
      </x:c>
      <x:c r="AC20" s="175">
        <x:v>5</x:v>
      </x:c>
      <x:c r="AD20" s="165"/>
      <x:c r="AE20" s="165"/>
      <x:c r="AF20" s="165"/>
      <x:c r="AG20" s="165"/>
      <x:c r="AH20" s="164">
        <x:f t="shared" si="6"/>
        <x:v>5</x:v>
      </x:c>
      <x:c r="AI20" s="175">
        <x:v>5</x:v>
      </x:c>
      <x:c r="AJ20" s="165"/>
      <x:c r="AK20" s="165"/>
      <x:c r="AL20" s="165"/>
      <x:c r="AM20" s="165"/>
      <x:c r="AN20" s="164">
        <x:f t="shared" si="7"/>
        <x:v>5</x:v>
      </x:c>
      <x:c r="AO20" s="175">
        <x:v>5</x:v>
      </x:c>
      <x:c r="AP20" s="165"/>
      <x:c r="AQ20" s="165"/>
      <x:c r="AR20" s="165"/>
      <x:c r="AS20" s="165"/>
      <x:c r="AT20" s="164">
        <x:f t="shared" si="8"/>
        <x:v>5</x:v>
      </x:c>
      <x:c r="AU20" s="175">
        <x:v>5</x:v>
      </x:c>
      <x:c r="AV20" s="165"/>
      <x:c r="AW20" s="165"/>
      <x:c r="AX20" s="165"/>
      <x:c r="AY20" s="165"/>
      <x:c r="AZ20" s="164">
        <x:f t="shared" si="9"/>
        <x:v>5</x:v>
      </x:c>
      <x:c r="BA20" s="165"/>
      <x:c r="BB20" s="165"/>
      <x:c r="BC20" s="165"/>
      <x:c r="BD20" s="165"/>
      <x:c r="BE20" s="165"/>
      <x:c r="BF20" s="164">
        <x:f t="shared" si="10"/>
        <x:v>0</x:v>
      </x:c>
      <x:c r="BG20" s="165"/>
      <x:c r="BH20" s="165"/>
      <x:c r="BI20" s="165"/>
      <x:c r="BJ20" s="165"/>
      <x:c r="BK20" s="165"/>
      <x:c r="BL20" s="164">
        <x:f t="shared" si="11"/>
        <x:v>0</x:v>
      </x:c>
      <x:c r="BM20" s="163"/>
      <x:c r="BN20" s="158"/>
      <x:c r="BO20" s="165"/>
      <x:c r="BP20" s="165"/>
      <x:c r="BQ20" s="165"/>
      <x:c r="BR20" s="164">
        <x:f t="shared" si="12"/>
        <x:v>0</x:v>
      </x:c>
      <x:c r="BS20" s="163"/>
      <x:c r="BT20" s="158"/>
      <x:c r="BU20" s="165"/>
      <x:c r="BV20" s="165"/>
      <x:c r="BW20" s="165"/>
      <x:c r="BX20" s="164">
        <x:f t="shared" si="13"/>
        <x:v>0</x:v>
      </x:c>
      <x:c r="BY20" s="163"/>
      <x:c r="BZ20" s="158"/>
      <x:c r="CA20" s="165"/>
      <x:c r="CB20" s="165"/>
      <x:c r="CC20" s="165"/>
      <x:c r="CD20" s="164">
        <x:f t="shared" si="14"/>
        <x:v>0</x:v>
      </x:c>
      <x:c r="CE20" s="167">
        <x:f t="shared" si="15"/>
        <x:v>25</x:v>
      </x:c>
      <x:c r="CF20" s="168" t="s">
        <x:v>248</x:v>
      </x:c>
      <x:c r="CG20" s="169" t="s">
        <x:v>317</x:v>
      </x:c>
      <x:c r="CH20" s="171"/>
    </x:row>
    <x:row r="21" ht="54.75" customHeight="1">
      <x:c r="A21" s="76">
        <x:v>11</x:v>
      </x:c>
      <x:c r="B21" s="135" t="s">
        <x:v>94</x:v>
      </x:c>
      <x:c r="C21" s="73" t="s">
        <x:v>95</x:v>
      </x:c>
      <x:c r="D21" s="73" t="s">
        <x:v>96</x:v>
      </x:c>
      <x:c r="E21" s="73" t="s">
        <x:v>97</x:v>
      </x:c>
      <x:c r="F21" s="119">
        <x:f t="shared" si="4"/>
        <x:v>78</x:v>
      </x:c>
      <x:c r="G21" s="138">
        <x:v>20</x:v>
      </x:c>
      <x:c r="H21" s="139">
        <x:v>20</x:v>
      </x:c>
      <x:c r="I21" s="139">
        <x:v>18</x:v>
      </x:c>
      <x:c r="J21" s="139">
        <x:v>20</x:v>
      </x:c>
      <x:c r="K21" s="139"/>
      <x:c r="L21" s="102">
        <x:v>0.4861111111111111</x:v>
      </x:c>
      <x:c r="M21" s="73" t="s">
        <x:v>98</x:v>
      </x:c>
      <x:c r="N21" s="73"/>
      <x:c r="O21" s="75" t="s">
        <x:v>99</x:v>
      </x:c>
      <x:c r="P21" s="85" t="s">
        <x:v>29</x:v>
      </x:c>
      <x:c r="Q21" s="151"/>
      <x:c r="R21" s="151"/>
      <x:c r="S21" s="151"/>
      <x:c r="T21" s="151"/>
      <x:c r="U21" s="151"/>
      <x:c r="V21" s="151"/>
      <x:c r="W21" s="115"/>
      <x:c r="X21" s="115"/>
      <x:c r="Y21" s="115"/>
      <x:c r="Z21" s="115"/>
      <x:c r="AA21" s="115"/>
      <x:c r="AB21" s="123">
        <x:f t="shared" si="5"/>
        <x:v>0</x:v>
      </x:c>
      <x:c r="AC21" s="115"/>
      <x:c r="AD21" s="115"/>
      <x:c r="AE21" s="115"/>
      <x:c r="AF21" s="115"/>
      <x:c r="AG21" s="115"/>
      <x:c r="AH21" s="123">
        <x:f t="shared" si="6"/>
        <x:v>0</x:v>
      </x:c>
      <x:c r="AI21" s="115"/>
      <x:c r="AJ21" s="115"/>
      <x:c r="AK21" s="115"/>
      <x:c r="AL21" s="115"/>
      <x:c r="AM21" s="115"/>
      <x:c r="AN21" s="123">
        <x:f t="shared" si="7"/>
        <x:v>0</x:v>
      </x:c>
      <x:c r="AO21" s="115"/>
      <x:c r="AP21" s="115"/>
      <x:c r="AQ21" s="115"/>
      <x:c r="AR21" s="115"/>
      <x:c r="AS21" s="115"/>
      <x:c r="AT21" s="123">
        <x:f t="shared" si="8"/>
        <x:v>0</x:v>
      </x:c>
      <x:c r="AU21" s="115"/>
      <x:c r="AV21" s="115"/>
      <x:c r="AW21" s="115"/>
      <x:c r="AX21" s="115"/>
      <x:c r="AY21" s="115"/>
      <x:c r="AZ21" s="123">
        <x:f t="shared" si="9"/>
        <x:v>0</x:v>
      </x:c>
      <x:c r="BA21" s="115"/>
      <x:c r="BB21" s="115"/>
      <x:c r="BC21" s="115"/>
      <x:c r="BD21" s="115"/>
      <x:c r="BE21" s="115"/>
      <x:c r="BF21" s="123">
        <x:f t="shared" si="10"/>
        <x:v>0</x:v>
      </x:c>
      <x:c r="BG21" s="138">
        <x:v>20</x:v>
      </x:c>
      <x:c r="BH21" s="139">
        <x:v>20</x:v>
      </x:c>
      <x:c r="BI21" s="139">
        <x:v>18</x:v>
      </x:c>
      <x:c r="BJ21" s="139">
        <x:v>20</x:v>
      </x:c>
      <x:c r="BK21" s="139"/>
      <x:c r="BL21" s="123">
        <x:f t="shared" si="11"/>
        <x:v>78</x:v>
      </x:c>
      <x:c r="BM21" s="138">
        <x:v>20</x:v>
      </x:c>
      <x:c r="BN21" s="139">
        <x:v>20</x:v>
      </x:c>
      <x:c r="BO21" s="139">
        <x:v>18</x:v>
      </x:c>
      <x:c r="BP21" s="139">
        <x:v>20</x:v>
      </x:c>
      <x:c r="BQ21" s="139"/>
      <x:c r="BR21" s="123">
        <x:f t="shared" si="12"/>
        <x:v>78</x:v>
      </x:c>
      <x:c r="BS21" s="138">
        <x:v>20</x:v>
      </x:c>
      <x:c r="BT21" s="139">
        <x:v>20</x:v>
      </x:c>
      <x:c r="BU21" s="139">
        <x:v>18</x:v>
      </x:c>
      <x:c r="BV21" s="139">
        <x:v>20</x:v>
      </x:c>
      <x:c r="BW21" s="139"/>
      <x:c r="BX21" s="123">
        <x:f t="shared" si="13"/>
        <x:v>78</x:v>
      </x:c>
      <x:c r="BY21" s="138">
        <x:v>20</x:v>
      </x:c>
      <x:c r="BZ21" s="139">
        <x:v>20</x:v>
      </x:c>
      <x:c r="CA21" s="139">
        <x:v>18</x:v>
      </x:c>
      <x:c r="CB21" s="139">
        <x:v>20</x:v>
      </x:c>
      <x:c r="CC21" s="139"/>
      <x:c r="CD21" s="123">
        <x:f t="shared" si="14"/>
        <x:v>78</x:v>
      </x:c>
      <x:c r="CE21" s="146">
        <x:f t="shared" si="15"/>
        <x:v>312</x:v>
      </x:c>
      <x:c r="CF21" s="73" t="s">
        <x:v>37</x:v>
      </x:c>
      <x:c r="CG21" s="73" t="s">
        <x:v>100</x:v>
      </x:c>
      <x:c r="CH21" s="142"/>
    </x:row>
    <x:row r="22" ht="54.75" customHeight="1">
      <x:c r="A22" s="76">
        <x:v>12</x:v>
      </x:c>
      <x:c r="B22" s="135" t="s">
        <x:v>101</x:v>
      </x:c>
      <x:c r="C22" s="73" t="s">
        <x:v>102</x:v>
      </x:c>
      <x:c r="D22" s="73" t="s">
        <x:v>103</x:v>
      </x:c>
      <x:c r="E22" s="73" t="s">
        <x:v>104</x:v>
      </x:c>
      <x:c r="F22" s="119">
        <x:f t="shared" si="4"/>
        <x:v>24</x:v>
      </x:c>
      <x:c r="G22" s="138">
        <x:v>13</x:v>
      </x:c>
      <x:c r="H22" s="139">
        <x:v>11</x:v>
      </x:c>
      <x:c r="I22" s="139"/>
      <x:c r="J22" s="139"/>
      <x:c r="K22" s="139"/>
      <x:c r="L22" s="102">
        <x:v>0.5</x:v>
      </x:c>
      <x:c r="M22" s="73" t="s">
        <x:v>105</x:v>
      </x:c>
      <x:c r="N22" s="73"/>
      <x:c r="O22" s="75" t="s">
        <x:v>106</x:v>
      </x:c>
      <x:c r="P22" s="85" t="s">
        <x:v>29</x:v>
      </x:c>
      <x:c r="Q22" s="151"/>
      <x:c r="R22" s="151"/>
      <x:c r="S22" s="151"/>
      <x:c r="T22" s="151"/>
      <x:c r="U22" s="151"/>
      <x:c r="V22" s="151"/>
      <x:c r="W22" s="115"/>
      <x:c r="X22" s="115"/>
      <x:c r="Y22" s="115"/>
      <x:c r="Z22" s="115"/>
      <x:c r="AA22" s="115"/>
      <x:c r="AB22" s="123">
        <x:f t="shared" si="5"/>
        <x:v>0</x:v>
      </x:c>
      <x:c r="AC22" s="115"/>
      <x:c r="AD22" s="115"/>
      <x:c r="AE22" s="115"/>
      <x:c r="AF22" s="115"/>
      <x:c r="AG22" s="115"/>
      <x:c r="AH22" s="123">
        <x:f t="shared" si="6"/>
        <x:v>0</x:v>
      </x:c>
      <x:c r="AI22" s="115"/>
      <x:c r="AJ22" s="115"/>
      <x:c r="AK22" s="115"/>
      <x:c r="AL22" s="115"/>
      <x:c r="AM22" s="115"/>
      <x:c r="AN22" s="123">
        <x:f t="shared" si="7"/>
        <x:v>0</x:v>
      </x:c>
      <x:c r="AO22" s="115"/>
      <x:c r="AP22" s="115"/>
      <x:c r="AQ22" s="115"/>
      <x:c r="AR22" s="115"/>
      <x:c r="AS22" s="115"/>
      <x:c r="AT22" s="123">
        <x:f t="shared" si="8"/>
        <x:v>0</x:v>
      </x:c>
      <x:c r="AU22" s="115"/>
      <x:c r="AV22" s="115"/>
      <x:c r="AW22" s="115"/>
      <x:c r="AX22" s="115"/>
      <x:c r="AY22" s="115"/>
      <x:c r="AZ22" s="123">
        <x:f t="shared" si="9"/>
        <x:v>0</x:v>
      </x:c>
      <x:c r="BA22" s="115"/>
      <x:c r="BB22" s="115"/>
      <x:c r="BC22" s="115"/>
      <x:c r="BD22" s="115"/>
      <x:c r="BE22" s="115"/>
      <x:c r="BF22" s="123">
        <x:f t="shared" si="10"/>
        <x:v>0</x:v>
      </x:c>
      <x:c r="BG22" s="115"/>
      <x:c r="BH22" s="115"/>
      <x:c r="BI22" s="115"/>
      <x:c r="BJ22" s="115"/>
      <x:c r="BK22" s="115"/>
      <x:c r="BL22" s="123">
        <x:f t="shared" si="11"/>
        <x:v>0</x:v>
      </x:c>
      <x:c r="BM22" s="115"/>
      <x:c r="BN22" s="115"/>
      <x:c r="BO22" s="115"/>
      <x:c r="BP22" s="115"/>
      <x:c r="BQ22" s="115"/>
      <x:c r="BR22" s="123">
        <x:f t="shared" si="12"/>
        <x:v>0</x:v>
      </x:c>
      <x:c r="BS22" s="138">
        <x:v>13</x:v>
      </x:c>
      <x:c r="BT22" s="139">
        <x:v>11</x:v>
      </x:c>
      <x:c r="BU22" s="139"/>
      <x:c r="BV22" s="139"/>
      <x:c r="BW22" s="139"/>
      <x:c r="BX22" s="123">
        <x:f t="shared" si="13"/>
        <x:v>24</x:v>
      </x:c>
      <x:c r="BY22" s="138">
        <x:v>13</x:v>
      </x:c>
      <x:c r="BZ22" s="139">
        <x:v>11</x:v>
      </x:c>
      <x:c r="CA22" s="139"/>
      <x:c r="CB22" s="139"/>
      <x:c r="CC22" s="139"/>
      <x:c r="CD22" s="123">
        <x:f t="shared" si="14"/>
        <x:v>24</x:v>
      </x:c>
      <x:c r="CE22" s="146">
        <x:f t="shared" si="15"/>
        <x:v>48</x:v>
      </x:c>
      <x:c r="CF22" s="73" t="s">
        <x:v>37</x:v>
      </x:c>
      <x:c r="CG22" s="73" t="s">
        <x:v>107</x:v>
      </x:c>
      <x:c r="CH22" s="142"/>
    </x:row>
    <x:row r="23" ht="54.75" customHeight="1">
      <x:c r="A23" s="154" t="s">
        <x:v>318</x:v>
      </x:c>
      <x:c r="B23" s="112" t="s">
        <x:v>249</x:v>
      </x:c>
      <x:c r="C23" s="172" t="s">
        <x:v>102</x:v>
      </x:c>
      <x:c r="D23" s="172" t="s">
        <x:v>250</x:v>
      </x:c>
      <x:c r="E23" s="172" t="s">
        <x:v>251</x:v>
      </x:c>
      <x:c r="F23" s="156">
        <x:f t="shared" si="4"/>
        <x:v>2</x:v>
      </x:c>
      <x:c r="G23" s="157">
        <x:v>2</x:v>
      </x:c>
      <x:c r="H23" s="158"/>
      <x:c r="I23" s="158"/>
      <x:c r="J23" s="158"/>
      <x:c r="K23" s="158"/>
      <x:c r="L23" s="174">
        <x:v>0.5</x:v>
      </x:c>
      <x:c r="M23" s="155" t="s">
        <x:v>253</x:v>
      </x:c>
      <x:c r="N23" s="155" t="s">
        <x:v>247</x:v>
      </x:c>
      <x:c r="O23" s="160" t="s">
        <x:v>181</x:v>
      </x:c>
      <x:c r="P23" s="161" t="s">
        <x:v>60</x:v>
      </x:c>
      <x:c r="Q23" s="163">
        <x:v>3</x:v>
      </x:c>
      <x:c r="R23" s="162"/>
      <x:c r="S23" s="162"/>
      <x:c r="T23" s="162"/>
      <x:c r="U23" s="162"/>
      <x:c r="V23" s="164" t="n">
        <x:f t="shared" ref="V23" si="16">SUM(Q23:U23)</x:f>
        <x:v>3</x:v>
      </x:c>
      <x:c r="W23" s="163">
        <x:v>3</x:v>
      </x:c>
      <x:c r="X23" s="165"/>
      <x:c r="Y23" s="165"/>
      <x:c r="Z23" s="165"/>
      <x:c r="AA23" s="165"/>
      <x:c r="AB23" s="164">
        <x:f t="shared" si="5"/>
        <x:v>3</x:v>
      </x:c>
      <x:c r="AC23" s="163">
        <x:v>3</x:v>
      </x:c>
      <x:c r="AD23" s="165"/>
      <x:c r="AE23" s="165"/>
      <x:c r="AF23" s="165"/>
      <x:c r="AG23" s="165"/>
      <x:c r="AH23" s="164">
        <x:f t="shared" si="6"/>
        <x:v>3</x:v>
      </x:c>
      <x:c r="AI23" s="163">
        <x:v>3</x:v>
      </x:c>
      <x:c r="AJ23" s="165"/>
      <x:c r="AK23" s="165"/>
      <x:c r="AL23" s="165"/>
      <x:c r="AM23" s="165"/>
      <x:c r="AN23" s="164">
        <x:f t="shared" si="7"/>
        <x:v>3</x:v>
      </x:c>
      <x:c r="AO23" s="163">
        <x:v>3</x:v>
      </x:c>
      <x:c r="AP23" s="165"/>
      <x:c r="AQ23" s="165"/>
      <x:c r="AR23" s="165"/>
      <x:c r="AS23" s="165"/>
      <x:c r="AT23" s="164">
        <x:f t="shared" si="8"/>
        <x:v>3</x:v>
      </x:c>
      <x:c r="AU23" s="163">
        <x:v>3</x:v>
      </x:c>
      <x:c r="AV23" s="165"/>
      <x:c r="AW23" s="165"/>
      <x:c r="AX23" s="165"/>
      <x:c r="AY23" s="165"/>
      <x:c r="AZ23" s="164">
        <x:f t="shared" si="9"/>
        <x:v>3</x:v>
      </x:c>
      <x:c r="BA23" s="163"/>
      <x:c r="BB23" s="165"/>
      <x:c r="BC23" s="165"/>
      <x:c r="BD23" s="165"/>
      <x:c r="BE23" s="165"/>
      <x:c r="BF23" s="164">
        <x:f t="shared" si="10"/>
        <x:v>0</x:v>
      </x:c>
      <x:c r="BG23" s="165"/>
      <x:c r="BH23" s="165"/>
      <x:c r="BI23" s="165"/>
      <x:c r="BJ23" s="165"/>
      <x:c r="BK23" s="165"/>
      <x:c r="BL23" s="164">
        <x:f t="shared" si="11"/>
        <x:v>0</x:v>
      </x:c>
      <x:c r="BM23" s="165"/>
      <x:c r="BN23" s="165"/>
      <x:c r="BO23" s="165"/>
      <x:c r="BP23" s="165"/>
      <x:c r="BQ23" s="165"/>
      <x:c r="BR23" s="164">
        <x:f t="shared" si="12"/>
        <x:v>0</x:v>
      </x:c>
      <x:c r="BS23" s="163"/>
      <x:c r="BT23" s="158"/>
      <x:c r="BU23" s="165"/>
      <x:c r="BV23" s="165"/>
      <x:c r="BW23" s="165"/>
      <x:c r="BX23" s="164">
        <x:f t="shared" si="13"/>
        <x:v>0</x:v>
      </x:c>
      <x:c r="BY23" s="163"/>
      <x:c r="BZ23" s="158"/>
      <x:c r="CA23" s="165"/>
      <x:c r="CB23" s="165"/>
      <x:c r="CC23" s="165"/>
      <x:c r="CD23" s="164">
        <x:f t="shared" si="14"/>
        <x:v>0</x:v>
      </x:c>
      <x:c r="CE23" s="167">
        <x:f t="shared" si="15"/>
        <x:v>18</x:v>
      </x:c>
      <x:c r="CF23" s="169" t="s">
        <x:v>319</x:v>
      </x:c>
      <x:c r="CG23" s="169" t="s">
        <x:v>320</x:v>
      </x:c>
      <x:c r="CH23" s="171"/>
    </x:row>
    <x:row r="24" ht="54.75" customHeight="1">
      <x:c r="A24" s="76">
        <x:v>13</x:v>
      </x:c>
      <x:c r="B24" s="135" t="s">
        <x:v>108</x:v>
      </x:c>
      <x:c r="C24" s="73" t="s">
        <x:v>109</x:v>
      </x:c>
      <x:c r="D24" s="73" t="s">
        <x:v>110</x:v>
      </x:c>
      <x:c r="E24" s="73" t="s">
        <x:v>111</x:v>
      </x:c>
      <x:c r="F24" s="119">
        <x:f t="shared" si="4"/>
        <x:v>36</x:v>
      </x:c>
      <x:c r="G24" s="138">
        <x:v>21</x:v>
      </x:c>
      <x:c r="H24" s="139">
        <x:v>15</x:v>
      </x:c>
      <x:c r="I24" s="139"/>
      <x:c r="J24" s="139"/>
      <x:c r="K24" s="139"/>
      <x:c r="L24" s="145">
        <x:v>0.4861111111111111</x:v>
      </x:c>
      <x:c r="M24" s="73" t="s">
        <x:v>66</x:v>
      </x:c>
      <x:c r="N24" s="73" t="s">
        <x:v>43</x:v>
      </x:c>
      <x:c r="O24" s="75" t="s">
        <x:v>67</x:v>
      </x:c>
      <x:c r="P24" s="85" t="s">
        <x:v>29</x:v>
      </x:c>
      <x:c r="Q24" s="151"/>
      <x:c r="R24" s="151"/>
      <x:c r="S24" s="151"/>
      <x:c r="T24" s="151"/>
      <x:c r="U24" s="151"/>
      <x:c r="V24" s="151"/>
      <x:c r="W24" s="115"/>
      <x:c r="X24" s="115"/>
      <x:c r="Y24" s="115"/>
      <x:c r="Z24" s="115"/>
      <x:c r="AA24" s="115"/>
      <x:c r="AB24" s="123">
        <x:f t="shared" si="5"/>
        <x:v>0</x:v>
      </x:c>
      <x:c r="AC24" s="115"/>
      <x:c r="AD24" s="115"/>
      <x:c r="AE24" s="115"/>
      <x:c r="AF24" s="115"/>
      <x:c r="AG24" s="115"/>
      <x:c r="AH24" s="123">
        <x:f t="shared" si="6"/>
        <x:v>0</x:v>
      </x:c>
      <x:c r="AI24" s="115"/>
      <x:c r="AJ24" s="115"/>
      <x:c r="AK24" s="115"/>
      <x:c r="AL24" s="115"/>
      <x:c r="AM24" s="115"/>
      <x:c r="AN24" s="123">
        <x:f t="shared" si="7"/>
        <x:v>0</x:v>
      </x:c>
      <x:c r="AO24" s="115"/>
      <x:c r="AP24" s="115"/>
      <x:c r="AQ24" s="115"/>
      <x:c r="AR24" s="115"/>
      <x:c r="AS24" s="115"/>
      <x:c r="AT24" s="123">
        <x:f t="shared" si="8"/>
        <x:v>0</x:v>
      </x:c>
      <x:c r="AU24" s="115"/>
      <x:c r="AV24" s="115"/>
      <x:c r="AW24" s="115"/>
      <x:c r="AX24" s="115"/>
      <x:c r="AY24" s="115"/>
      <x:c r="AZ24" s="123">
        <x:f t="shared" si="9"/>
        <x:v>0</x:v>
      </x:c>
      <x:c r="BA24" s="138">
        <x:v>21</x:v>
      </x:c>
      <x:c r="BB24" s="139">
        <x:v>15</x:v>
      </x:c>
      <x:c r="BC24" s="139"/>
      <x:c r="BD24" s="139"/>
      <x:c r="BE24" s="139"/>
      <x:c r="BF24" s="123">
        <x:f t="shared" si="10"/>
        <x:v>36</x:v>
      </x:c>
      <x:c r="BG24" s="138">
        <x:v>21</x:v>
      </x:c>
      <x:c r="BH24" s="139">
        <x:v>15</x:v>
      </x:c>
      <x:c r="BI24" s="139"/>
      <x:c r="BJ24" s="139"/>
      <x:c r="BK24" s="139"/>
      <x:c r="BL24" s="123">
        <x:f t="shared" si="11"/>
        <x:v>36</x:v>
      </x:c>
      <x:c r="BM24" s="138"/>
      <x:c r="BN24" s="139"/>
      <x:c r="BO24" s="139"/>
      <x:c r="BP24" s="139"/>
      <x:c r="BQ24" s="139"/>
      <x:c r="BR24" s="123">
        <x:f t="shared" si="12"/>
        <x:v>0</x:v>
      </x:c>
      <x:c r="BS24" s="138"/>
      <x:c r="BT24" s="139"/>
      <x:c r="BU24" s="139"/>
      <x:c r="BV24" s="139"/>
      <x:c r="BW24" s="139"/>
      <x:c r="BX24" s="123">
        <x:f t="shared" si="13"/>
        <x:v>0</x:v>
      </x:c>
      <x:c r="BY24" s="138"/>
      <x:c r="BZ24" s="139"/>
      <x:c r="CA24" s="139"/>
      <x:c r="CB24" s="139"/>
      <x:c r="CC24" s="139"/>
      <x:c r="CD24" s="123">
        <x:f t="shared" si="14"/>
        <x:v>0</x:v>
      </x:c>
      <x:c r="CE24" s="146">
        <x:f t="shared" si="15"/>
        <x:v>72</x:v>
      </x:c>
      <x:c r="CF24" s="73" t="s">
        <x:v>37</x:v>
      </x:c>
      <x:c r="CG24" s="73" t="s">
        <x:v>112</x:v>
      </x:c>
      <x:c r="CH24" s="142"/>
    </x:row>
    <x:row r="25" ht="54.75" customHeight="1">
      <x:c r="A25" s="76">
        <x:v>14</x:v>
      </x:c>
      <x:c r="B25" s="135" t="s">
        <x:v>113</x:v>
      </x:c>
      <x:c r="C25" s="73" t="s">
        <x:v>114</x:v>
      </x:c>
      <x:c r="D25" s="73" t="s">
        <x:v>115</x:v>
      </x:c>
      <x:c r="E25" s="73" t="s">
        <x:v>116</x:v>
      </x:c>
      <x:c r="F25" s="119">
        <x:f t="shared" si="4"/>
        <x:v>39</x:v>
      </x:c>
      <x:c r="G25" s="138">
        <x:v>20</x:v>
      </x:c>
      <x:c r="H25" s="139">
        <x:v>19</x:v>
      </x:c>
      <x:c r="I25" s="139"/>
      <x:c r="J25" s="139"/>
      <x:c r="K25" s="139"/>
      <x:c r="L25" s="74">
        <x:v>0.5</x:v>
      </x:c>
      <x:c r="M25" s="73" t="s">
        <x:v>117</x:v>
      </x:c>
      <x:c r="N25" s="73"/>
      <x:c r="O25" s="75" t="s">
        <x:v>99</x:v>
      </x:c>
      <x:c r="P25" s="85" t="s">
        <x:v>29</x:v>
      </x:c>
      <x:c r="Q25" s="151"/>
      <x:c r="R25" s="151"/>
      <x:c r="S25" s="151"/>
      <x:c r="T25" s="151"/>
      <x:c r="U25" s="151"/>
      <x:c r="V25" s="151"/>
      <x:c r="W25" s="115"/>
      <x:c r="X25" s="115"/>
      <x:c r="Y25" s="115"/>
      <x:c r="Z25" s="115"/>
      <x:c r="AA25" s="115"/>
      <x:c r="AB25" s="123">
        <x:f t="shared" si="5"/>
        <x:v>0</x:v>
      </x:c>
      <x:c r="AC25" s="115"/>
      <x:c r="AD25" s="115"/>
      <x:c r="AE25" s="115"/>
      <x:c r="AF25" s="115"/>
      <x:c r="AG25" s="115"/>
      <x:c r="AH25" s="123">
        <x:f t="shared" si="6"/>
        <x:v>0</x:v>
      </x:c>
      <x:c r="AI25" s="115"/>
      <x:c r="AJ25" s="115"/>
      <x:c r="AK25" s="115"/>
      <x:c r="AL25" s="115"/>
      <x:c r="AM25" s="115"/>
      <x:c r="AN25" s="123">
        <x:f t="shared" si="7"/>
        <x:v>0</x:v>
      </x:c>
      <x:c r="AO25" s="115"/>
      <x:c r="AP25" s="115"/>
      <x:c r="AQ25" s="115"/>
      <x:c r="AR25" s="115"/>
      <x:c r="AS25" s="115"/>
      <x:c r="AT25" s="123">
        <x:f t="shared" si="8"/>
        <x:v>0</x:v>
      </x:c>
      <x:c r="AU25" s="115"/>
      <x:c r="AV25" s="115"/>
      <x:c r="AW25" s="115"/>
      <x:c r="AX25" s="115"/>
      <x:c r="AY25" s="115"/>
      <x:c r="AZ25" s="123">
        <x:f t="shared" si="9"/>
        <x:v>0</x:v>
      </x:c>
      <x:c r="BA25" s="115"/>
      <x:c r="BB25" s="115"/>
      <x:c r="BC25" s="115"/>
      <x:c r="BD25" s="115"/>
      <x:c r="BE25" s="115"/>
      <x:c r="BF25" s="123">
        <x:f t="shared" si="10"/>
        <x:v>0</x:v>
      </x:c>
      <x:c r="BG25" s="115"/>
      <x:c r="BH25" s="115"/>
      <x:c r="BI25" s="115"/>
      <x:c r="BJ25" s="115"/>
      <x:c r="BK25" s="115"/>
      <x:c r="BL25" s="123">
        <x:f t="shared" si="11"/>
        <x:v>0</x:v>
      </x:c>
      <x:c r="BM25" s="138">
        <x:v>20</x:v>
      </x:c>
      <x:c r="BN25" s="139">
        <x:v>19</x:v>
      </x:c>
      <x:c r="BO25" s="139"/>
      <x:c r="BP25" s="139"/>
      <x:c r="BQ25" s="139"/>
      <x:c r="BR25" s="123">
        <x:f t="shared" si="12"/>
        <x:v>39</x:v>
      </x:c>
      <x:c r="BS25" s="138">
        <x:v>20</x:v>
      </x:c>
      <x:c r="BT25" s="139">
        <x:v>19</x:v>
      </x:c>
      <x:c r="BU25" s="139"/>
      <x:c r="BV25" s="139"/>
      <x:c r="BW25" s="139"/>
      <x:c r="BX25" s="123">
        <x:f t="shared" si="13"/>
        <x:v>39</x:v>
      </x:c>
      <x:c r="BY25" s="138">
        <x:v>20</x:v>
      </x:c>
      <x:c r="BZ25" s="139">
        <x:v>19</x:v>
      </x:c>
      <x:c r="CA25" s="139"/>
      <x:c r="CB25" s="139"/>
      <x:c r="CC25" s="139"/>
      <x:c r="CD25" s="123">
        <x:f t="shared" si="14"/>
        <x:v>39</x:v>
      </x:c>
      <x:c r="CE25" s="146">
        <x:f t="shared" si="15"/>
        <x:v>117</x:v>
      </x:c>
      <x:c r="CF25" s="73" t="s">
        <x:v>45</x:v>
      </x:c>
      <x:c r="CG25" s="73" t="s">
        <x:v>118</x:v>
      </x:c>
      <x:c r="CH25" s="142"/>
    </x:row>
    <x:row r="26" ht="54.75" customHeight="1">
      <x:c r="A26" s="154" t="s">
        <x:v>321</x:v>
      </x:c>
      <x:c r="B26" s="112" t="s">
        <x:v>255</x:v>
      </x:c>
      <x:c r="C26" s="155" t="s">
        <x:v>114</x:v>
      </x:c>
      <x:c r="D26" s="155" t="s">
        <x:v>256</x:v>
      </x:c>
      <x:c r="E26" s="155" t="s">
        <x:v>257</x:v>
      </x:c>
      <x:c r="F26" s="156">
        <x:f t="shared" si="4"/>
        <x:v>11</x:v>
      </x:c>
      <x:c r="G26" s="157">
        <x:v>11</x:v>
      </x:c>
      <x:c r="H26" s="158"/>
      <x:c r="I26" s="158"/>
      <x:c r="J26" s="158"/>
      <x:c r="K26" s="158"/>
      <x:c r="L26" s="174">
        <x:v>0.49305555555555558</x:v>
      </x:c>
      <x:c r="M26" s="172" t="s">
        <x:v>259</x:v>
      </x:c>
      <x:c r="N26" s="155"/>
      <x:c r="O26" s="160" t="s">
        <x:v>181</x:v>
      </x:c>
      <x:c r="P26" s="161" t="s">
        <x:v>60</x:v>
      </x:c>
      <x:c r="Q26" s="162"/>
      <x:c r="R26" s="162"/>
      <x:c r="S26" s="162"/>
      <x:c r="T26" s="162"/>
      <x:c r="U26" s="162"/>
      <x:c r="V26" s="162"/>
      <x:c r="W26" s="165"/>
      <x:c r="X26" s="165"/>
      <x:c r="Y26" s="165"/>
      <x:c r="Z26" s="165"/>
      <x:c r="AA26" s="165"/>
      <x:c r="AB26" s="164">
        <x:f t="shared" si="5"/>
        <x:v>0</x:v>
      </x:c>
      <x:c r="AC26" s="165"/>
      <x:c r="AD26" s="165"/>
      <x:c r="AE26" s="165"/>
      <x:c r="AF26" s="165"/>
      <x:c r="AG26" s="165"/>
      <x:c r="AH26" s="164">
        <x:f t="shared" si="6"/>
        <x:v>0</x:v>
      </x:c>
      <x:c r="AI26" s="165"/>
      <x:c r="AJ26" s="165"/>
      <x:c r="AK26" s="165"/>
      <x:c r="AL26" s="165"/>
      <x:c r="AM26" s="165"/>
      <x:c r="AN26" s="164">
        <x:f t="shared" si="7"/>
        <x:v>0</x:v>
      </x:c>
      <x:c r="AO26" s="165"/>
      <x:c r="AP26" s="165"/>
      <x:c r="AQ26" s="165"/>
      <x:c r="AR26" s="165"/>
      <x:c r="AS26" s="165"/>
      <x:c r="AT26" s="164">
        <x:f t="shared" si="8"/>
        <x:v>0</x:v>
      </x:c>
      <x:c r="AU26" s="165"/>
      <x:c r="AV26" s="165"/>
      <x:c r="AW26" s="165"/>
      <x:c r="AX26" s="165"/>
      <x:c r="AY26" s="165"/>
      <x:c r="AZ26" s="164">
        <x:f t="shared" si="9"/>
        <x:v>0</x:v>
      </x:c>
      <x:c r="BA26" s="175">
        <x:v>12</x:v>
      </x:c>
      <x:c r="BB26" s="165"/>
      <x:c r="BC26" s="165"/>
      <x:c r="BD26" s="165"/>
      <x:c r="BE26" s="165"/>
      <x:c r="BF26" s="164">
        <x:f t="shared" si="10"/>
        <x:v>12</x:v>
      </x:c>
      <x:c r="BG26" s="175">
        <x:v>12</x:v>
      </x:c>
      <x:c r="BH26" s="165"/>
      <x:c r="BI26" s="165"/>
      <x:c r="BJ26" s="165"/>
      <x:c r="BK26" s="165"/>
      <x:c r="BL26" s="164">
        <x:f t="shared" si="11"/>
        <x:v>12</x:v>
      </x:c>
      <x:c r="BM26" s="157">
        <x:v>11</x:v>
      </x:c>
      <x:c r="BN26" s="158"/>
      <x:c r="BO26" s="165"/>
      <x:c r="BP26" s="165"/>
      <x:c r="BQ26" s="165"/>
      <x:c r="BR26" s="166">
        <x:f t="shared" si="12"/>
        <x:v>11</x:v>
      </x:c>
      <x:c r="BS26" s="157">
        <x:v>11</x:v>
      </x:c>
      <x:c r="BT26" s="158"/>
      <x:c r="BU26" s="165"/>
      <x:c r="BV26" s="165"/>
      <x:c r="BW26" s="165"/>
      <x:c r="BX26" s="166">
        <x:f t="shared" si="13"/>
        <x:v>11</x:v>
      </x:c>
      <x:c r="BY26" s="157">
        <x:v>11</x:v>
      </x:c>
      <x:c r="BZ26" s="158"/>
      <x:c r="CA26" s="165"/>
      <x:c r="CB26" s="165"/>
      <x:c r="CC26" s="165"/>
      <x:c r="CD26" s="166">
        <x:f t="shared" si="14"/>
        <x:v>11</x:v>
      </x:c>
      <x:c r="CE26" s="167">
        <x:f t="shared" si="15"/>
        <x:v>57</x:v>
      </x:c>
      <x:c r="CF26" s="168" t="s">
        <x:v>260</x:v>
      </x:c>
      <x:c r="CG26" s="169" t="s">
        <x:v>322</x:v>
      </x:c>
      <x:c r="CH26" s="171"/>
    </x:row>
    <x:row r="27" ht="54.75" customHeight="1">
      <x:c r="A27" s="76">
        <x:v>15</x:v>
      </x:c>
      <x:c r="B27" s="135" t="s">
        <x:v>119</x:v>
      </x:c>
      <x:c r="C27" s="73" t="s">
        <x:v>120</x:v>
      </x:c>
      <x:c r="D27" s="73" t="s">
        <x:v>121</x:v>
      </x:c>
      <x:c r="E27" s="73" t="s">
        <x:v>122</x:v>
      </x:c>
      <x:c r="F27" s="119">
        <x:f t="shared" si="4"/>
        <x:v>16</x:v>
      </x:c>
      <x:c r="G27" s="138">
        <x:v>16</x:v>
      </x:c>
      <x:c r="H27" s="139"/>
      <x:c r="I27" s="139"/>
      <x:c r="J27" s="139"/>
      <x:c r="K27" s="139"/>
      <x:c r="L27" s="74">
        <x:v>0.5</x:v>
      </x:c>
      <x:c r="M27" s="73" t="s">
        <x:v>123</x:v>
      </x:c>
      <x:c r="N27" s="73" t="s">
        <x:v>124</x:v>
      </x:c>
      <x:c r="O27" s="75" t="s">
        <x:v>28</x:v>
      </x:c>
      <x:c r="P27" s="85" t="s">
        <x:v>29</x:v>
      </x:c>
      <x:c r="Q27" s="151"/>
      <x:c r="R27" s="151"/>
      <x:c r="S27" s="151"/>
      <x:c r="T27" s="151"/>
      <x:c r="U27" s="151"/>
      <x:c r="V27" s="151"/>
      <x:c r="W27" s="115"/>
      <x:c r="X27" s="115"/>
      <x:c r="Y27" s="115"/>
      <x:c r="Z27" s="115"/>
      <x:c r="AA27" s="115"/>
      <x:c r="AB27" s="123">
        <x:f t="shared" si="5"/>
        <x:v>0</x:v>
      </x:c>
      <x:c r="AC27" s="115"/>
      <x:c r="AD27" s="115"/>
      <x:c r="AE27" s="115"/>
      <x:c r="AF27" s="115"/>
      <x:c r="AG27" s="115"/>
      <x:c r="AH27" s="123">
        <x:f t="shared" si="6"/>
        <x:v>0</x:v>
      </x:c>
      <x:c r="AI27" s="115"/>
      <x:c r="AJ27" s="115"/>
      <x:c r="AK27" s="115"/>
      <x:c r="AL27" s="115"/>
      <x:c r="AM27" s="115"/>
      <x:c r="AN27" s="123">
        <x:f t="shared" si="7"/>
        <x:v>0</x:v>
      </x:c>
      <x:c r="AO27" s="115"/>
      <x:c r="AP27" s="115"/>
      <x:c r="AQ27" s="115"/>
      <x:c r="AR27" s="115"/>
      <x:c r="AS27" s="115"/>
      <x:c r="AT27" s="123">
        <x:f t="shared" si="8"/>
        <x:v>0</x:v>
      </x:c>
      <x:c r="AU27" s="115"/>
      <x:c r="AV27" s="115"/>
      <x:c r="AW27" s="115"/>
      <x:c r="AX27" s="115"/>
      <x:c r="AY27" s="115"/>
      <x:c r="AZ27" s="123">
        <x:f t="shared" si="9"/>
        <x:v>0</x:v>
      </x:c>
      <x:c r="BA27" s="115"/>
      <x:c r="BB27" s="115"/>
      <x:c r="BC27" s="115"/>
      <x:c r="BD27" s="115"/>
      <x:c r="BE27" s="115"/>
      <x:c r="BF27" s="123">
        <x:f t="shared" si="10"/>
        <x:v>0</x:v>
      </x:c>
      <x:c r="BG27" s="115"/>
      <x:c r="BH27" s="115"/>
      <x:c r="BI27" s="115"/>
      <x:c r="BJ27" s="115"/>
      <x:c r="BK27" s="115"/>
      <x:c r="BL27" s="123">
        <x:f t="shared" si="11"/>
        <x:v>0</x:v>
      </x:c>
      <x:c r="BM27" s="138">
        <x:v>16</x:v>
      </x:c>
      <x:c r="BN27" s="139"/>
      <x:c r="BO27" s="139"/>
      <x:c r="BP27" s="139"/>
      <x:c r="BQ27" s="139"/>
      <x:c r="BR27" s="123">
        <x:f t="shared" si="12"/>
        <x:v>16</x:v>
      </x:c>
      <x:c r="BS27" s="138"/>
      <x:c r="BT27" s="139"/>
      <x:c r="BU27" s="115"/>
      <x:c r="BV27" s="115"/>
      <x:c r="BW27" s="115"/>
      <x:c r="BX27" s="123">
        <x:f t="shared" si="13"/>
        <x:v>0</x:v>
      </x:c>
      <x:c r="BY27" s="138"/>
      <x:c r="BZ27" s="139"/>
      <x:c r="CA27" s="115"/>
      <x:c r="CB27" s="115"/>
      <x:c r="CC27" s="115"/>
      <x:c r="CD27" s="123">
        <x:f t="shared" si="14"/>
        <x:v>0</x:v>
      </x:c>
      <x:c r="CE27" s="146">
        <x:f t="shared" si="15"/>
        <x:v>16</x:v>
      </x:c>
      <x:c r="CF27" s="73" t="s">
        <x:v>37</x:v>
      </x:c>
      <x:c r="CG27" s="73" t="s">
        <x:v>125</x:v>
      </x:c>
      <x:c r="CH27" s="142"/>
    </x:row>
    <x:row r="28" ht="54.75" customHeight="1">
      <x:c r="A28" s="76">
        <x:v>16</x:v>
      </x:c>
      <x:c r="B28" s="135" t="s">
        <x:v>126</x:v>
      </x:c>
      <x:c r="C28" s="73" t="s">
        <x:v>127</x:v>
      </x:c>
      <x:c r="D28" s="73" t="s">
        <x:v>128</x:v>
      </x:c>
      <x:c r="E28" s="73" t="s">
        <x:v>128</x:v>
      </x:c>
      <x:c r="F28" s="119">
        <x:f t="shared" si="4"/>
        <x:v>17</x:v>
      </x:c>
      <x:c r="G28" s="138">
        <x:v>17</x:v>
      </x:c>
      <x:c r="H28" s="139"/>
      <x:c r="I28" s="139"/>
      <x:c r="J28" s="139"/>
      <x:c r="K28" s="139"/>
      <x:c r="L28" s="74">
        <x:v>0.5</x:v>
      </x:c>
      <x:c r="M28" s="140" t="s">
        <x:v>129</x:v>
      </x:c>
      <x:c r="N28" s="73"/>
      <x:c r="O28" s="75" t="s">
        <x:v>28</x:v>
      </x:c>
      <x:c r="P28" s="85" t="s">
        <x:v>29</x:v>
      </x:c>
      <x:c r="Q28" s="151"/>
      <x:c r="R28" s="151"/>
      <x:c r="S28" s="151"/>
      <x:c r="T28" s="151"/>
      <x:c r="U28" s="151"/>
      <x:c r="V28" s="151"/>
      <x:c r="W28" s="115"/>
      <x:c r="X28" s="115"/>
      <x:c r="Y28" s="115"/>
      <x:c r="Z28" s="115"/>
      <x:c r="AA28" s="115"/>
      <x:c r="AB28" s="123">
        <x:f t="shared" si="5"/>
        <x:v>0</x:v>
      </x:c>
      <x:c r="AC28" s="115"/>
      <x:c r="AD28" s="115"/>
      <x:c r="AE28" s="115"/>
      <x:c r="AF28" s="115"/>
      <x:c r="AG28" s="115"/>
      <x:c r="AH28" s="123">
        <x:f t="shared" si="6"/>
        <x:v>0</x:v>
      </x:c>
      <x:c r="AI28" s="147"/>
      <x:c r="AJ28" s="115"/>
      <x:c r="AK28" s="115"/>
      <x:c r="AL28" s="115"/>
      <x:c r="AM28" s="115"/>
      <x:c r="AN28" s="123">
        <x:f t="shared" si="7"/>
        <x:v>0</x:v>
      </x:c>
      <x:c r="AO28" s="147"/>
      <x:c r="AP28" s="115"/>
      <x:c r="AQ28" s="115"/>
      <x:c r="AR28" s="115"/>
      <x:c r="AS28" s="115"/>
      <x:c r="AT28" s="123">
        <x:f t="shared" si="8"/>
        <x:v>0</x:v>
      </x:c>
      <x:c r="AU28" s="147"/>
      <x:c r="AV28" s="115"/>
      <x:c r="AW28" s="115"/>
      <x:c r="AX28" s="115"/>
      <x:c r="AY28" s="115"/>
      <x:c r="AZ28" s="123">
        <x:f t="shared" si="9"/>
        <x:v>0</x:v>
      </x:c>
      <x:c r="BA28" s="138">
        <x:v>17</x:v>
      </x:c>
      <x:c r="BB28" s="139"/>
      <x:c r="BC28" s="139"/>
      <x:c r="BD28" s="139"/>
      <x:c r="BE28" s="139"/>
      <x:c r="BF28" s="123">
        <x:f t="shared" si="10"/>
        <x:v>17</x:v>
      </x:c>
      <x:c r="BG28" s="138">
        <x:v>17</x:v>
      </x:c>
      <x:c r="BH28" s="139"/>
      <x:c r="BI28" s="139"/>
      <x:c r="BJ28" s="139"/>
      <x:c r="BK28" s="139"/>
      <x:c r="BL28" s="123">
        <x:f t="shared" si="11"/>
        <x:v>17</x:v>
      </x:c>
      <x:c r="BM28" s="138">
        <x:v>17</x:v>
      </x:c>
      <x:c r="BN28" s="139"/>
      <x:c r="BO28" s="139"/>
      <x:c r="BP28" s="139"/>
      <x:c r="BQ28" s="139"/>
      <x:c r="BR28" s="123">
        <x:f t="shared" si="12"/>
        <x:v>17</x:v>
      </x:c>
      <x:c r="BS28" s="138">
        <x:v>17</x:v>
      </x:c>
      <x:c r="BT28" s="139"/>
      <x:c r="BU28" s="139"/>
      <x:c r="BV28" s="139"/>
      <x:c r="BW28" s="139"/>
      <x:c r="BX28" s="123">
        <x:f t="shared" si="13"/>
        <x:v>17</x:v>
      </x:c>
      <x:c r="BY28" s="138">
        <x:v>17</x:v>
      </x:c>
      <x:c r="BZ28" s="139"/>
      <x:c r="CA28" s="139"/>
      <x:c r="CB28" s="139"/>
      <x:c r="CC28" s="139"/>
      <x:c r="CD28" s="123">
        <x:f t="shared" si="14"/>
        <x:v>17</x:v>
      </x:c>
      <x:c r="CE28" s="146">
        <x:f t="shared" si="15"/>
        <x:v>85</x:v>
      </x:c>
      <x:c r="CF28" s="73" t="s">
        <x:v>45</x:v>
      </x:c>
      <x:c r="CG28" s="73" t="s">
        <x:v>130</x:v>
      </x:c>
      <x:c r="CH28" s="142"/>
    </x:row>
    <x:row r="29" ht="54.75" customHeight="1">
      <x:c r="A29" s="154" t="s">
        <x:v>323</x:v>
      </x:c>
      <x:c r="B29" s="112" t="s">
        <x:v>262</x:v>
      </x:c>
      <x:c r="C29" s="155" t="s">
        <x:v>263</x:v>
      </x:c>
      <x:c r="D29" s="155" t="s">
        <x:v>264</x:v>
      </x:c>
      <x:c r="E29" s="155" t="s">
        <x:v>265</x:v>
      </x:c>
      <x:c r="F29" s="156">
        <x:f t="shared" si="4"/>
        <x:v>3</x:v>
      </x:c>
      <x:c r="G29" s="157">
        <x:v>3</x:v>
      </x:c>
      <x:c r="H29" s="158"/>
      <x:c r="I29" s="158"/>
      <x:c r="J29" s="158"/>
      <x:c r="K29" s="158"/>
      <x:c r="L29" s="159">
        <x:v>0.48958333333333331</x:v>
      </x:c>
      <x:c r="M29" s="176" t="s">
        <x:v>268</x:v>
      </x:c>
      <x:c r="N29" s="155"/>
      <x:c r="O29" s="160" t="s">
        <x:v>28</x:v>
      </x:c>
      <x:c r="P29" s="161" t="s">
        <x:v>60</x:v>
      </x:c>
      <x:c r="Q29" s="162"/>
      <x:c r="R29" s="162"/>
      <x:c r="S29" s="162"/>
      <x:c r="T29" s="162"/>
      <x:c r="U29" s="162"/>
      <x:c r="V29" s="162"/>
      <x:c r="W29" s="165"/>
      <x:c r="X29" s="165"/>
      <x:c r="Y29" s="165"/>
      <x:c r="Z29" s="165"/>
      <x:c r="AA29" s="165"/>
      <x:c r="AB29" s="164">
        <x:f t="shared" si="5"/>
        <x:v>0</x:v>
      </x:c>
      <x:c r="AC29" s="165"/>
      <x:c r="AD29" s="165"/>
      <x:c r="AE29" s="165"/>
      <x:c r="AF29" s="165"/>
      <x:c r="AG29" s="165"/>
      <x:c r="AH29" s="164">
        <x:f t="shared" si="6"/>
        <x:v>0</x:v>
      </x:c>
      <x:c r="AI29" s="177"/>
      <x:c r="AJ29" s="165"/>
      <x:c r="AK29" s="165"/>
      <x:c r="AL29" s="165"/>
      <x:c r="AM29" s="165"/>
      <x:c r="AN29" s="164">
        <x:f t="shared" si="7"/>
        <x:v>0</x:v>
      </x:c>
      <x:c r="AO29" s="177"/>
      <x:c r="AP29" s="165"/>
      <x:c r="AQ29" s="165"/>
      <x:c r="AR29" s="165"/>
      <x:c r="AS29" s="165"/>
      <x:c r="AT29" s="164">
        <x:f t="shared" si="8"/>
        <x:v>0</x:v>
      </x:c>
      <x:c r="AU29" s="177"/>
      <x:c r="AV29" s="165"/>
      <x:c r="AW29" s="165"/>
      <x:c r="AX29" s="165"/>
      <x:c r="AY29" s="165"/>
      <x:c r="AZ29" s="164">
        <x:f t="shared" si="9"/>
        <x:v>0</x:v>
      </x:c>
      <x:c r="BA29" s="157">
        <x:v>3</x:v>
      </x:c>
      <x:c r="BB29" s="158"/>
      <x:c r="BC29" s="158"/>
      <x:c r="BD29" s="158"/>
      <x:c r="BE29" s="158"/>
      <x:c r="BF29" s="166">
        <x:f t="shared" si="10"/>
        <x:v>3</x:v>
      </x:c>
      <x:c r="BG29" s="157">
        <x:v>3</x:v>
      </x:c>
      <x:c r="BH29" s="158"/>
      <x:c r="BI29" s="158"/>
      <x:c r="BJ29" s="158"/>
      <x:c r="BK29" s="158"/>
      <x:c r="BL29" s="166">
        <x:f t="shared" si="11"/>
        <x:v>3</x:v>
      </x:c>
      <x:c r="BM29" s="157">
        <x:v>3</x:v>
      </x:c>
      <x:c r="BN29" s="158"/>
      <x:c r="BO29" s="158"/>
      <x:c r="BP29" s="158"/>
      <x:c r="BQ29" s="158"/>
      <x:c r="BR29" s="166">
        <x:f t="shared" si="12"/>
        <x:v>3</x:v>
      </x:c>
      <x:c r="BS29" s="157">
        <x:v>3</x:v>
      </x:c>
      <x:c r="BT29" s="158"/>
      <x:c r="BU29" s="158"/>
      <x:c r="BV29" s="158"/>
      <x:c r="BW29" s="158"/>
      <x:c r="BX29" s="166">
        <x:f t="shared" si="13"/>
        <x:v>3</x:v>
      </x:c>
      <x:c r="BY29" s="157">
        <x:v>3</x:v>
      </x:c>
      <x:c r="BZ29" s="158"/>
      <x:c r="CA29" s="158"/>
      <x:c r="CB29" s="158"/>
      <x:c r="CC29" s="158"/>
      <x:c r="CD29" s="166">
        <x:f t="shared" si="14"/>
        <x:v>3</x:v>
      </x:c>
      <x:c r="CE29" s="167">
        <x:f t="shared" si="15"/>
        <x:v>15</x:v>
      </x:c>
      <x:c r="CF29" s="168" t="s">
        <x:v>269</x:v>
      </x:c>
      <x:c r="CG29" s="169" t="s">
        <x:v>324</x:v>
      </x:c>
      <x:c r="CH29" s="171"/>
    </x:row>
    <x:row r="30" ht="54.75" customHeight="1">
      <x:c r="A30" s="76">
        <x:v>17</x:v>
      </x:c>
      <x:c r="B30" s="135" t="s">
        <x:v>131</x:v>
      </x:c>
      <x:c r="C30" s="73" t="s">
        <x:v>132</x:v>
      </x:c>
      <x:c r="D30" s="73" t="s">
        <x:v>133</x:v>
      </x:c>
      <x:c r="E30" s="73" t="s">
        <x:v>134</x:v>
      </x:c>
      <x:c r="F30" s="119">
        <x:f t="shared" si="4"/>
        <x:v>16</x:v>
      </x:c>
      <x:c r="G30" s="138">
        <x:v>16</x:v>
      </x:c>
      <x:c r="H30" s="139"/>
      <x:c r="I30" s="139"/>
      <x:c r="J30" s="139"/>
      <x:c r="K30" s="139"/>
      <x:c r="L30" s="74">
        <x:v>0.47916666666666669</x:v>
      </x:c>
      <x:c r="M30" s="73" t="s">
        <x:v>135</x:v>
      </x:c>
      <x:c r="N30" s="73"/>
      <x:c r="O30" s="75" t="s">
        <x:v>99</x:v>
      </x:c>
      <x:c r="P30" s="85" t="s">
        <x:v>29</x:v>
      </x:c>
      <x:c r="Q30" s="151"/>
      <x:c r="R30" s="151"/>
      <x:c r="S30" s="151"/>
      <x:c r="T30" s="151"/>
      <x:c r="U30" s="151"/>
      <x:c r="V30" s="151"/>
      <x:c r="W30" s="115"/>
      <x:c r="X30" s="115"/>
      <x:c r="Y30" s="115"/>
      <x:c r="Z30" s="115"/>
      <x:c r="AA30" s="115"/>
      <x:c r="AB30" s="123">
        <x:f t="shared" si="5"/>
        <x:v>0</x:v>
      </x:c>
      <x:c r="AC30" s="115"/>
      <x:c r="AD30" s="115"/>
      <x:c r="AE30" s="115"/>
      <x:c r="AF30" s="115"/>
      <x:c r="AG30" s="115"/>
      <x:c r="AH30" s="123">
        <x:f t="shared" si="6"/>
        <x:v>0</x:v>
      </x:c>
      <x:c r="AI30" s="115"/>
      <x:c r="AJ30" s="115"/>
      <x:c r="AK30" s="115"/>
      <x:c r="AL30" s="115"/>
      <x:c r="AM30" s="115"/>
      <x:c r="AN30" s="123">
        <x:f t="shared" si="7"/>
        <x:v>0</x:v>
      </x:c>
      <x:c r="AO30" s="115"/>
      <x:c r="AP30" s="115"/>
      <x:c r="AQ30" s="115"/>
      <x:c r="AR30" s="115"/>
      <x:c r="AS30" s="115"/>
      <x:c r="AT30" s="123">
        <x:f t="shared" si="8"/>
        <x:v>0</x:v>
      </x:c>
      <x:c r="AU30" s="115"/>
      <x:c r="AV30" s="115"/>
      <x:c r="AW30" s="115"/>
      <x:c r="AX30" s="115"/>
      <x:c r="AY30" s="115"/>
      <x:c r="AZ30" s="123">
        <x:f t="shared" si="9"/>
        <x:v>0</x:v>
      </x:c>
      <x:c r="BA30" s="115"/>
      <x:c r="BB30" s="115"/>
      <x:c r="BC30" s="115"/>
      <x:c r="BD30" s="115"/>
      <x:c r="BE30" s="115"/>
      <x:c r="BF30" s="123">
        <x:f t="shared" si="10"/>
        <x:v>0</x:v>
      </x:c>
      <x:c r="BG30" s="115"/>
      <x:c r="BH30" s="115"/>
      <x:c r="BI30" s="115"/>
      <x:c r="BJ30" s="115"/>
      <x:c r="BK30" s="115"/>
      <x:c r="BL30" s="123">
        <x:f t="shared" si="11"/>
        <x:v>0</x:v>
      </x:c>
      <x:c r="BM30" s="115"/>
      <x:c r="BN30" s="115"/>
      <x:c r="BO30" s="115"/>
      <x:c r="BP30" s="115"/>
      <x:c r="BQ30" s="115"/>
      <x:c r="BR30" s="123">
        <x:f t="shared" si="12"/>
        <x:v>0</x:v>
      </x:c>
      <x:c r="BS30" s="115"/>
      <x:c r="BT30" s="115"/>
      <x:c r="BU30" s="115"/>
      <x:c r="BV30" s="115"/>
      <x:c r="BW30" s="115"/>
      <x:c r="BX30" s="123">
        <x:f t="shared" si="13"/>
        <x:v>0</x:v>
      </x:c>
      <x:c r="BY30" s="115"/>
      <x:c r="BZ30" s="115"/>
      <x:c r="CA30" s="115"/>
      <x:c r="CB30" s="115"/>
      <x:c r="CC30" s="115"/>
      <x:c r="CD30" s="123">
        <x:f t="shared" si="14"/>
        <x:v>0</x:v>
      </x:c>
      <x:c r="CE30" s="146">
        <x:f t="shared" si="15"/>
        <x:v>0</x:v>
      </x:c>
      <x:c r="CF30" s="73" t="s">
        <x:v>37</x:v>
      </x:c>
      <x:c r="CG30" s="73" t="s">
        <x:v>136</x:v>
      </x:c>
      <x:c r="CH30" s="142"/>
    </x:row>
    <x:row r="31" ht="54.75" customHeight="1">
      <x:c r="A31" s="76">
        <x:v>18</x:v>
      </x:c>
      <x:c r="B31" s="135" t="s">
        <x:v>137</x:v>
      </x:c>
      <x:c r="C31" s="73" t="s">
        <x:v>138</x:v>
      </x:c>
      <x:c r="D31" s="73" t="s">
        <x:v>139</x:v>
      </x:c>
      <x:c r="E31" s="73" t="s">
        <x:v>139</x:v>
      </x:c>
      <x:c r="F31" s="119">
        <x:f t="shared" si="4"/>
        <x:v>41</x:v>
      </x:c>
      <x:c r="G31" s="138">
        <x:v>21</x:v>
      </x:c>
      <x:c r="H31" s="139">
        <x:v>20</x:v>
      </x:c>
      <x:c r="I31" s="139"/>
      <x:c r="J31" s="139"/>
      <x:c r="K31" s="139"/>
      <x:c r="L31" s="74">
        <x:v>0.5</x:v>
      </x:c>
      <x:c r="M31" s="73" t="s">
        <x:v>140</x:v>
      </x:c>
      <x:c r="N31" s="73" t="s">
        <x:v>43</x:v>
      </x:c>
      <x:c r="O31" s="75" t="s">
        <x:v>141</x:v>
      </x:c>
      <x:c r="P31" s="85" t="s">
        <x:v>29</x:v>
      </x:c>
      <x:c r="Q31" s="151"/>
      <x:c r="R31" s="151"/>
      <x:c r="S31" s="151"/>
      <x:c r="T31" s="151"/>
      <x:c r="U31" s="151"/>
      <x:c r="V31" s="151"/>
      <x:c r="W31" s="115"/>
      <x:c r="X31" s="115"/>
      <x:c r="Y31" s="115"/>
      <x:c r="Z31" s="115"/>
      <x:c r="AA31" s="115"/>
      <x:c r="AB31" s="123">
        <x:f t="shared" si="5"/>
        <x:v>0</x:v>
      </x:c>
      <x:c r="AC31" s="115"/>
      <x:c r="AD31" s="115"/>
      <x:c r="AE31" s="115"/>
      <x:c r="AF31" s="115"/>
      <x:c r="AG31" s="115"/>
      <x:c r="AH31" s="123">
        <x:f t="shared" si="6"/>
        <x:v>0</x:v>
      </x:c>
      <x:c r="AI31" s="115"/>
      <x:c r="AJ31" s="115"/>
      <x:c r="AK31" s="115"/>
      <x:c r="AL31" s="115"/>
      <x:c r="AM31" s="115"/>
      <x:c r="AN31" s="123">
        <x:f t="shared" si="7"/>
        <x:v>0</x:v>
      </x:c>
      <x:c r="AO31" s="115"/>
      <x:c r="AP31" s="115"/>
      <x:c r="AQ31" s="115"/>
      <x:c r="AR31" s="115"/>
      <x:c r="AS31" s="115"/>
      <x:c r="AT31" s="123">
        <x:f t="shared" si="8"/>
        <x:v>0</x:v>
      </x:c>
      <x:c r="AU31" s="115"/>
      <x:c r="AV31" s="115"/>
      <x:c r="AW31" s="115"/>
      <x:c r="AX31" s="115"/>
      <x:c r="AY31" s="115"/>
      <x:c r="AZ31" s="123">
        <x:f t="shared" si="9"/>
        <x:v>0</x:v>
      </x:c>
      <x:c r="BA31" s="115"/>
      <x:c r="BB31" s="115"/>
      <x:c r="BC31" s="115"/>
      <x:c r="BD31" s="115"/>
      <x:c r="BE31" s="115"/>
      <x:c r="BF31" s="123">
        <x:f t="shared" si="10"/>
        <x:v>0</x:v>
      </x:c>
      <x:c r="BG31" s="138">
        <x:v>21</x:v>
      </x:c>
      <x:c r="BH31" s="139">
        <x:v>20</x:v>
      </x:c>
      <x:c r="BI31" s="139"/>
      <x:c r="BJ31" s="139"/>
      <x:c r="BK31" s="139"/>
      <x:c r="BL31" s="123">
        <x:f t="shared" si="11"/>
        <x:v>41</x:v>
      </x:c>
      <x:c r="BM31" s="138"/>
      <x:c r="BN31" s="139"/>
      <x:c r="BO31" s="115"/>
      <x:c r="BP31" s="115"/>
      <x:c r="BQ31" s="115"/>
      <x:c r="BR31" s="123">
        <x:f t="shared" si="12"/>
        <x:v>0</x:v>
      </x:c>
      <x:c r="BS31" s="138"/>
      <x:c r="BT31" s="139"/>
      <x:c r="BU31" s="115"/>
      <x:c r="BV31" s="115"/>
      <x:c r="BW31" s="115"/>
      <x:c r="BX31" s="123">
        <x:f t="shared" si="13"/>
        <x:v>0</x:v>
      </x:c>
      <x:c r="BY31" s="138"/>
      <x:c r="BZ31" s="139"/>
      <x:c r="CA31" s="115"/>
      <x:c r="CB31" s="115"/>
      <x:c r="CC31" s="115"/>
      <x:c r="CD31" s="123">
        <x:f t="shared" si="14"/>
        <x:v>0</x:v>
      </x:c>
      <x:c r="CE31" s="146">
        <x:f t="shared" si="15"/>
        <x:v>41</x:v>
      </x:c>
      <x:c r="CF31" s="73" t="s">
        <x:v>37</x:v>
      </x:c>
      <x:c r="CG31" s="73" t="s">
        <x:v>142</x:v>
      </x:c>
      <x:c r="CH31" s="142"/>
    </x:row>
    <x:row r="32" ht="54.75" customHeight="1">
      <x:c r="A32" s="76">
        <x:v>19</x:v>
      </x:c>
      <x:c r="B32" s="135" t="s">
        <x:v>143</x:v>
      </x:c>
      <x:c r="C32" s="73" t="s">
        <x:v>144</x:v>
      </x:c>
      <x:c r="D32" s="73" t="s">
        <x:v>145</x:v>
      </x:c>
      <x:c r="E32" s="73" t="s">
        <x:v>146</x:v>
      </x:c>
      <x:c r="F32" s="119">
        <x:f t="shared" si="4"/>
        <x:v>14</x:v>
      </x:c>
      <x:c r="G32" s="138">
        <x:v>14</x:v>
      </x:c>
      <x:c r="H32" s="139"/>
      <x:c r="I32" s="139"/>
      <x:c r="J32" s="139"/>
      <x:c r="K32" s="139"/>
      <x:c r="L32" s="74">
        <x:v>0.47222222222222221</x:v>
      </x:c>
      <x:c r="M32" s="73" t="s">
        <x:v>147</x:v>
      </x:c>
      <x:c r="N32" s="73" t="s">
        <x:v>148</x:v>
      </x:c>
      <x:c r="O32" s="75" t="s">
        <x:v>67</x:v>
      </x:c>
      <x:c r="P32" s="85" t="s">
        <x:v>29</x:v>
      </x:c>
      <x:c r="Q32" s="151"/>
      <x:c r="R32" s="151"/>
      <x:c r="S32" s="151"/>
      <x:c r="T32" s="151"/>
      <x:c r="U32" s="151"/>
      <x:c r="V32" s="151"/>
      <x:c r="W32" s="115"/>
      <x:c r="X32" s="115"/>
      <x:c r="Y32" s="115"/>
      <x:c r="Z32" s="115"/>
      <x:c r="AA32" s="115"/>
      <x:c r="AB32" s="123">
        <x:f t="shared" si="5"/>
        <x:v>0</x:v>
      </x:c>
      <x:c r="AC32" s="115"/>
      <x:c r="AD32" s="115"/>
      <x:c r="AE32" s="115"/>
      <x:c r="AF32" s="115"/>
      <x:c r="AG32" s="115"/>
      <x:c r="AH32" s="123">
        <x:f t="shared" si="6"/>
        <x:v>0</x:v>
      </x:c>
      <x:c r="AI32" s="115"/>
      <x:c r="AJ32" s="115"/>
      <x:c r="AK32" s="115"/>
      <x:c r="AL32" s="115"/>
      <x:c r="AM32" s="115"/>
      <x:c r="AN32" s="123">
        <x:f t="shared" si="7"/>
        <x:v>0</x:v>
      </x:c>
      <x:c r="AO32" s="115"/>
      <x:c r="AP32" s="115"/>
      <x:c r="AQ32" s="115"/>
      <x:c r="AR32" s="115"/>
      <x:c r="AS32" s="115"/>
      <x:c r="AT32" s="123">
        <x:f t="shared" si="8"/>
        <x:v>0</x:v>
      </x:c>
      <x:c r="AU32" s="115"/>
      <x:c r="AV32" s="115"/>
      <x:c r="AW32" s="115"/>
      <x:c r="AX32" s="115"/>
      <x:c r="AY32" s="115"/>
      <x:c r="AZ32" s="123">
        <x:f t="shared" si="9"/>
        <x:v>0</x:v>
      </x:c>
      <x:c r="BA32" s="115"/>
      <x:c r="BB32" s="115"/>
      <x:c r="BC32" s="115"/>
      <x:c r="BD32" s="115"/>
      <x:c r="BE32" s="115"/>
      <x:c r="BF32" s="123">
        <x:f t="shared" si="10"/>
        <x:v>0</x:v>
      </x:c>
      <x:c r="BG32" s="115"/>
      <x:c r="BH32" s="115"/>
      <x:c r="BI32" s="115"/>
      <x:c r="BJ32" s="115"/>
      <x:c r="BK32" s="115"/>
      <x:c r="BL32" s="123">
        <x:f t="shared" si="11"/>
        <x:v>0</x:v>
      </x:c>
      <x:c r="BM32" s="115"/>
      <x:c r="BN32" s="115"/>
      <x:c r="BO32" s="115"/>
      <x:c r="BP32" s="115"/>
      <x:c r="BQ32" s="115"/>
      <x:c r="BR32" s="123">
        <x:f t="shared" si="12"/>
        <x:v>0</x:v>
      </x:c>
      <x:c r="BS32" s="138">
        <x:v>14</x:v>
      </x:c>
      <x:c r="BT32" s="139"/>
      <x:c r="BU32" s="139"/>
      <x:c r="BV32" s="139"/>
      <x:c r="BW32" s="139"/>
      <x:c r="BX32" s="123">
        <x:f t="shared" si="13"/>
        <x:v>14</x:v>
      </x:c>
      <x:c r="BY32" s="138">
        <x:v>14</x:v>
      </x:c>
      <x:c r="BZ32" s="139"/>
      <x:c r="CA32" s="139"/>
      <x:c r="CB32" s="139"/>
      <x:c r="CC32" s="139"/>
      <x:c r="CD32" s="123">
        <x:f t="shared" si="14"/>
        <x:v>14</x:v>
      </x:c>
      <x:c r="CE32" s="146">
        <x:f t="shared" si="15"/>
        <x:v>28</x:v>
      </x:c>
      <x:c r="CF32" s="73" t="s">
        <x:v>37</x:v>
      </x:c>
      <x:c r="CG32" s="73" t="s">
        <x:v>149</x:v>
      </x:c>
      <x:c r="CH32" s="142"/>
    </x:row>
    <x:row r="33" ht="54.75" customHeight="1">
      <x:c r="A33" s="76">
        <x:v>20</x:v>
      </x:c>
      <x:c r="B33" s="135" t="s">
        <x:v>150</x:v>
      </x:c>
      <x:c r="C33" s="73" t="s">
        <x:v>151</x:v>
      </x:c>
      <x:c r="D33" s="73" t="s">
        <x:v>152</x:v>
      </x:c>
      <x:c r="E33" s="73" t="s">
        <x:v>152</x:v>
      </x:c>
      <x:c r="F33" s="119">
        <x:f t="shared" si="4"/>
        <x:v>55</x:v>
      </x:c>
      <x:c r="G33" s="138">
        <x:v>19</x:v>
      </x:c>
      <x:c r="H33" s="139">
        <x:v>18</x:v>
      </x:c>
      <x:c r="I33" s="139">
        <x:v>18</x:v>
      </x:c>
      <x:c r="J33" s="139"/>
      <x:c r="K33" s="139"/>
      <x:c r="L33" s="74">
        <x:v>0.47916666666666669</x:v>
      </x:c>
      <x:c r="M33" s="73" t="s">
        <x:v>153</x:v>
      </x:c>
      <x:c r="N33" s="73"/>
      <x:c r="O33" s="75" t="s">
        <x:v>99</x:v>
      </x:c>
      <x:c r="P33" s="85" t="s">
        <x:v>29</x:v>
      </x:c>
      <x:c r="Q33" s="151"/>
      <x:c r="R33" s="151"/>
      <x:c r="S33" s="151"/>
      <x:c r="T33" s="151"/>
      <x:c r="U33" s="151"/>
      <x:c r="V33" s="151"/>
      <x:c r="W33" s="144"/>
      <x:c r="X33" s="116"/>
      <x:c r="Y33" s="116"/>
      <x:c r="Z33" s="116"/>
      <x:c r="AA33" s="116"/>
      <x:c r="AB33" s="123">
        <x:f t="shared" si="5"/>
        <x:v>0</x:v>
      </x:c>
      <x:c r="AC33" s="144"/>
      <x:c r="AD33" s="116"/>
      <x:c r="AE33" s="116"/>
      <x:c r="AF33" s="116"/>
      <x:c r="AG33" s="116"/>
      <x:c r="AH33" s="123">
        <x:f t="shared" si="6"/>
        <x:v>0</x:v>
      </x:c>
      <x:c r="AI33" s="144"/>
      <x:c r="AJ33" s="116"/>
      <x:c r="AK33" s="116"/>
      <x:c r="AL33" s="116"/>
      <x:c r="AM33" s="116"/>
      <x:c r="AN33" s="123">
        <x:f t="shared" si="7"/>
        <x:v>0</x:v>
      </x:c>
      <x:c r="AO33" s="144"/>
      <x:c r="AP33" s="116"/>
      <x:c r="AQ33" s="116"/>
      <x:c r="AR33" s="116"/>
      <x:c r="AS33" s="116"/>
      <x:c r="AT33" s="123">
        <x:f t="shared" si="8"/>
        <x:v>0</x:v>
      </x:c>
      <x:c r="AU33" s="144"/>
      <x:c r="AV33" s="116"/>
      <x:c r="AW33" s="116"/>
      <x:c r="AX33" s="116"/>
      <x:c r="AY33" s="116"/>
      <x:c r="AZ33" s="123">
        <x:f t="shared" si="9"/>
        <x:v>0</x:v>
      </x:c>
      <x:c r="BA33" s="144"/>
      <x:c r="BB33" s="116"/>
      <x:c r="BC33" s="116"/>
      <x:c r="BD33" s="116"/>
      <x:c r="BE33" s="116"/>
      <x:c r="BF33" s="123">
        <x:f t="shared" si="10"/>
        <x:v>0</x:v>
      </x:c>
      <x:c r="BG33" s="144"/>
      <x:c r="BH33" s="116"/>
      <x:c r="BI33" s="116"/>
      <x:c r="BJ33" s="116"/>
      <x:c r="BK33" s="116"/>
      <x:c r="BL33" s="123">
        <x:f t="shared" si="11"/>
        <x:v>0</x:v>
      </x:c>
      <x:c r="BM33" s="144"/>
      <x:c r="BN33" s="116"/>
      <x:c r="BO33" s="116"/>
      <x:c r="BP33" s="116"/>
      <x:c r="BQ33" s="116"/>
      <x:c r="BR33" s="123">
        <x:f t="shared" si="12"/>
        <x:v>0</x:v>
      </x:c>
      <x:c r="BS33" s="138">
        <x:v>19</x:v>
      </x:c>
      <x:c r="BT33" s="139">
        <x:v>18</x:v>
      </x:c>
      <x:c r="BU33" s="139">
        <x:v>18</x:v>
      </x:c>
      <x:c r="BV33" s="139"/>
      <x:c r="BW33" s="139"/>
      <x:c r="BX33" s="123">
        <x:f t="shared" si="13"/>
        <x:v>55</x:v>
      </x:c>
      <x:c r="BY33" s="138">
        <x:v>19</x:v>
      </x:c>
      <x:c r="BZ33" s="139">
        <x:v>18</x:v>
      </x:c>
      <x:c r="CA33" s="139">
        <x:v>18</x:v>
      </x:c>
      <x:c r="CB33" s="139"/>
      <x:c r="CC33" s="139"/>
      <x:c r="CD33" s="123">
        <x:f t="shared" si="14"/>
        <x:v>55</x:v>
      </x:c>
      <x:c r="CE33" s="146">
        <x:f t="shared" si="15"/>
        <x:v>110</x:v>
      </x:c>
      <x:c r="CF33" s="73" t="s">
        <x:v>37</x:v>
      </x:c>
      <x:c r="CG33" s="73" t="s">
        <x:v>154</x:v>
      </x:c>
      <x:c r="CH33" s="142"/>
    </x:row>
    <x:row r="34" ht="54.75" customHeight="1">
      <x:c r="A34" s="154" t="s">
        <x:v>325</x:v>
      </x:c>
      <x:c r="B34" s="112" t="s">
        <x:v>271</x:v>
      </x:c>
      <x:c r="C34" s="155" t="s">
        <x:v>151</x:v>
      </x:c>
      <x:c r="D34" s="155" t="s">
        <x:v>272</x:v>
      </x:c>
      <x:c r="E34" s="155" t="s">
        <x:v>273</x:v>
      </x:c>
      <x:c r="F34" s="156">
        <x:f t="shared" si="4"/>
        <x:v>6</x:v>
      </x:c>
      <x:c r="G34" s="157">
        <x:v>6</x:v>
      </x:c>
      <x:c r="H34" s="158"/>
      <x:c r="I34" s="158"/>
      <x:c r="J34" s="158"/>
      <x:c r="K34" s="158"/>
      <x:c r="L34" s="159">
        <x:v>0.47916666666666669</x:v>
      </x:c>
      <x:c r="M34" s="155" t="s">
        <x:v>276</x:v>
      </x:c>
      <x:c r="N34" s="155"/>
      <x:c r="O34" s="160" t="s">
        <x:v>44</x:v>
      </x:c>
      <x:c r="P34" s="161" t="s">
        <x:v>60</x:v>
      </x:c>
      <x:c r="Q34" s="162"/>
      <x:c r="R34" s="162"/>
      <x:c r="S34" s="162"/>
      <x:c r="T34" s="162"/>
      <x:c r="U34" s="162"/>
      <x:c r="V34" s="162"/>
      <x:c r="W34" s="178"/>
      <x:c r="X34" s="179"/>
      <x:c r="Y34" s="179"/>
      <x:c r="Z34" s="179"/>
      <x:c r="AA34" s="179"/>
      <x:c r="AB34" s="164">
        <x:f t="shared" si="5"/>
        <x:v>0</x:v>
      </x:c>
      <x:c r="AC34" s="178"/>
      <x:c r="AD34" s="179"/>
      <x:c r="AE34" s="179"/>
      <x:c r="AF34" s="179"/>
      <x:c r="AG34" s="179"/>
      <x:c r="AH34" s="164">
        <x:f t="shared" si="6"/>
        <x:v>0</x:v>
      </x:c>
      <x:c r="AI34" s="178"/>
      <x:c r="AJ34" s="179"/>
      <x:c r="AK34" s="179"/>
      <x:c r="AL34" s="179"/>
      <x:c r="AM34" s="179"/>
      <x:c r="AN34" s="164">
        <x:f t="shared" si="7"/>
        <x:v>0</x:v>
      </x:c>
      <x:c r="AO34" s="178"/>
      <x:c r="AP34" s="179"/>
      <x:c r="AQ34" s="179"/>
      <x:c r="AR34" s="179"/>
      <x:c r="AS34" s="179"/>
      <x:c r="AT34" s="164">
        <x:f t="shared" si="8"/>
        <x:v>0</x:v>
      </x:c>
      <x:c r="AU34" s="178"/>
      <x:c r="AV34" s="179"/>
      <x:c r="AW34" s="179"/>
      <x:c r="AX34" s="179"/>
      <x:c r="AY34" s="179"/>
      <x:c r="AZ34" s="164">
        <x:f t="shared" si="9"/>
        <x:v>0</x:v>
      </x:c>
      <x:c r="BA34" s="178"/>
      <x:c r="BB34" s="179"/>
      <x:c r="BC34" s="179"/>
      <x:c r="BD34" s="179"/>
      <x:c r="BE34" s="179"/>
      <x:c r="BF34" s="164">
        <x:f t="shared" si="10"/>
        <x:v>0</x:v>
      </x:c>
      <x:c r="BG34" s="178"/>
      <x:c r="BH34" s="179"/>
      <x:c r="BI34" s="179"/>
      <x:c r="BJ34" s="179"/>
      <x:c r="BK34" s="179"/>
      <x:c r="BL34" s="164">
        <x:f t="shared" si="11"/>
        <x:v>0</x:v>
      </x:c>
      <x:c r="BM34" s="178"/>
      <x:c r="BN34" s="179"/>
      <x:c r="BO34" s="179"/>
      <x:c r="BP34" s="179"/>
      <x:c r="BQ34" s="179"/>
      <x:c r="BR34" s="164">
        <x:f t="shared" si="12"/>
        <x:v>0</x:v>
      </x:c>
      <x:c r="BS34" s="163"/>
      <x:c r="BT34" s="158"/>
      <x:c r="BU34" s="158"/>
      <x:c r="BV34" s="179"/>
      <x:c r="BW34" s="179"/>
      <x:c r="BX34" s="164">
        <x:f t="shared" si="13"/>
        <x:v>0</x:v>
      </x:c>
      <x:c r="BY34" s="163"/>
      <x:c r="BZ34" s="158"/>
      <x:c r="CA34" s="158"/>
      <x:c r="CB34" s="179"/>
      <x:c r="CC34" s="179"/>
      <x:c r="CD34" s="164">
        <x:f t="shared" si="14"/>
        <x:v>0</x:v>
      </x:c>
      <x:c r="CE34" s="167">
        <x:f t="shared" si="15"/>
        <x:v>0</x:v>
      </x:c>
      <x:c r="CF34" s="168" t="s">
        <x:v>269</x:v>
      </x:c>
      <x:c r="CG34" s="169" t="s">
        <x:v>154</x:v>
      </x:c>
      <x:c r="CH34" s="171"/>
    </x:row>
    <x:row r="35" ht="54.75" customHeight="1">
      <x:c r="A35" s="76">
        <x:v>21</x:v>
      </x:c>
      <x:c r="B35" s="135" t="s">
        <x:v>155</x:v>
      </x:c>
      <x:c r="C35" s="73" t="s">
        <x:v>156</x:v>
      </x:c>
      <x:c r="D35" s="73" t="s">
        <x:v>157</x:v>
      </x:c>
      <x:c r="E35" s="73" t="s">
        <x:v>158</x:v>
      </x:c>
      <x:c r="F35" s="119">
        <x:f t="shared" si="4"/>
        <x:v>21</x:v>
      </x:c>
      <x:c r="G35" s="138">
        <x:v>21</x:v>
      </x:c>
      <x:c r="H35" s="139"/>
      <x:c r="I35" s="139"/>
      <x:c r="J35" s="139"/>
      <x:c r="K35" s="139"/>
      <x:c r="L35" s="74">
        <x:v>0.47916666666666669</x:v>
      </x:c>
      <x:c r="M35" s="73" t="s">
        <x:v>159</x:v>
      </x:c>
      <x:c r="N35" s="73" t="s">
        <x:v>160</x:v>
      </x:c>
      <x:c r="O35" s="75" t="s">
        <x:v>141</x:v>
      </x:c>
      <x:c r="P35" s="85" t="s">
        <x:v>29</x:v>
      </x:c>
      <x:c r="Q35" s="151"/>
      <x:c r="R35" s="151"/>
      <x:c r="S35" s="151"/>
      <x:c r="T35" s="151"/>
      <x:c r="U35" s="151"/>
      <x:c r="V35" s="151"/>
      <x:c r="W35" s="115"/>
      <x:c r="X35" s="115"/>
      <x:c r="Y35" s="115"/>
      <x:c r="Z35" s="115"/>
      <x:c r="AA35" s="115"/>
      <x:c r="AB35" s="123">
        <x:f t="shared" si="5"/>
        <x:v>0</x:v>
      </x:c>
      <x:c r="AC35" s="115"/>
      <x:c r="AD35" s="115"/>
      <x:c r="AE35" s="115"/>
      <x:c r="AF35" s="115"/>
      <x:c r="AG35" s="115"/>
      <x:c r="AH35" s="123">
        <x:f t="shared" si="6"/>
        <x:v>0</x:v>
      </x:c>
      <x:c r="AI35" s="115"/>
      <x:c r="AJ35" s="115"/>
      <x:c r="AK35" s="115"/>
      <x:c r="AL35" s="115"/>
      <x:c r="AM35" s="115"/>
      <x:c r="AN35" s="123">
        <x:f t="shared" si="7"/>
        <x:v>0</x:v>
      </x:c>
      <x:c r="AO35" s="115"/>
      <x:c r="AP35" s="115"/>
      <x:c r="AQ35" s="115"/>
      <x:c r="AR35" s="115"/>
      <x:c r="AS35" s="115"/>
      <x:c r="AT35" s="123">
        <x:f t="shared" si="8"/>
        <x:v>0</x:v>
      </x:c>
      <x:c r="AU35" s="115"/>
      <x:c r="AV35" s="115"/>
      <x:c r="AW35" s="115"/>
      <x:c r="AX35" s="115"/>
      <x:c r="AY35" s="115"/>
      <x:c r="AZ35" s="123">
        <x:f t="shared" si="9"/>
        <x:v>0</x:v>
      </x:c>
      <x:c r="BA35" s="138">
        <x:v>21</x:v>
      </x:c>
      <x:c r="BB35" s="139"/>
      <x:c r="BC35" s="139"/>
      <x:c r="BD35" s="139"/>
      <x:c r="BE35" s="139"/>
      <x:c r="BF35" s="123">
        <x:f t="shared" si="10"/>
        <x:v>21</x:v>
      </x:c>
      <x:c r="BG35" s="138">
        <x:v>21</x:v>
      </x:c>
      <x:c r="BH35" s="139"/>
      <x:c r="BI35" s="139"/>
      <x:c r="BJ35" s="139"/>
      <x:c r="BK35" s="139"/>
      <x:c r="BL35" s="123">
        <x:f t="shared" si="11"/>
        <x:v>21</x:v>
      </x:c>
      <x:c r="BM35" s="138">
        <x:v>21</x:v>
      </x:c>
      <x:c r="BN35" s="139"/>
      <x:c r="BO35" s="139"/>
      <x:c r="BP35" s="139"/>
      <x:c r="BQ35" s="139"/>
      <x:c r="BR35" s="123">
        <x:f t="shared" si="12"/>
        <x:v>21</x:v>
      </x:c>
      <x:c r="BS35" s="138">
        <x:v>21</x:v>
      </x:c>
      <x:c r="BT35" s="139"/>
      <x:c r="BU35" s="139"/>
      <x:c r="BV35" s="139"/>
      <x:c r="BW35" s="139"/>
      <x:c r="BX35" s="123">
        <x:f t="shared" si="13"/>
        <x:v>21</x:v>
      </x:c>
      <x:c r="BY35" s="138">
        <x:v>21</x:v>
      </x:c>
      <x:c r="BZ35" s="139"/>
      <x:c r="CA35" s="139"/>
      <x:c r="CB35" s="139"/>
      <x:c r="CC35" s="139"/>
      <x:c r="CD35" s="123">
        <x:f t="shared" si="14"/>
        <x:v>21</x:v>
      </x:c>
      <x:c r="CE35" s="146">
        <x:f t="shared" si="15"/>
        <x:v>105</x:v>
      </x:c>
      <x:c r="CF35" s="73" t="s">
        <x:v>37</x:v>
      </x:c>
      <x:c r="CG35" s="73" t="s">
        <x:v>161</x:v>
      </x:c>
      <x:c r="CH35" s="142"/>
    </x:row>
    <x:row r="36" ht="54.75" customHeight="1">
      <x:c r="A36" s="76">
        <x:v>22</x:v>
      </x:c>
      <x:c r="B36" s="135" t="s">
        <x:v>162</x:v>
      </x:c>
      <x:c r="C36" s="73" t="s">
        <x:v>278</x:v>
      </x:c>
      <x:c r="D36" s="73" t="s">
        <x:v>164</x:v>
      </x:c>
      <x:c r="E36" s="73" t="s">
        <x:v>165</x:v>
      </x:c>
      <x:c r="F36" s="119">
        <x:f t="shared" si="4"/>
        <x:v>21</x:v>
      </x:c>
      <x:c r="G36" s="138">
        <x:v>21</x:v>
      </x:c>
      <x:c r="H36" s="139"/>
      <x:c r="I36" s="139"/>
      <x:c r="J36" s="139"/>
      <x:c r="K36" s="139"/>
      <x:c r="L36" s="74">
        <x:v>0.4861111111111111</x:v>
      </x:c>
      <x:c r="M36" s="73" t="s">
        <x:v>129</x:v>
      </x:c>
      <x:c r="N36" s="73"/>
      <x:c r="O36" s="75" t="s">
        <x:v>28</x:v>
      </x:c>
      <x:c r="P36" s="85" t="s">
        <x:v>29</x:v>
      </x:c>
      <x:c r="Q36" s="151"/>
      <x:c r="R36" s="151"/>
      <x:c r="S36" s="151"/>
      <x:c r="T36" s="151"/>
      <x:c r="U36" s="151"/>
      <x:c r="V36" s="151"/>
      <x:c r="W36" s="115"/>
      <x:c r="X36" s="115"/>
      <x:c r="Y36" s="115"/>
      <x:c r="Z36" s="115"/>
      <x:c r="AA36" s="115"/>
      <x:c r="AB36" s="123">
        <x:f t="shared" si="5"/>
        <x:v>0</x:v>
      </x:c>
      <x:c r="AC36" s="115"/>
      <x:c r="AD36" s="115"/>
      <x:c r="AE36" s="115"/>
      <x:c r="AF36" s="115"/>
      <x:c r="AG36" s="115"/>
      <x:c r="AH36" s="123">
        <x:f t="shared" si="6"/>
        <x:v>0</x:v>
      </x:c>
      <x:c r="AI36" s="115"/>
      <x:c r="AJ36" s="115"/>
      <x:c r="AK36" s="115"/>
      <x:c r="AL36" s="115"/>
      <x:c r="AM36" s="115"/>
      <x:c r="AN36" s="123">
        <x:f t="shared" si="7"/>
        <x:v>0</x:v>
      </x:c>
      <x:c r="AO36" s="115"/>
      <x:c r="AP36" s="115"/>
      <x:c r="AQ36" s="115"/>
      <x:c r="AR36" s="115"/>
      <x:c r="AS36" s="115"/>
      <x:c r="AT36" s="123">
        <x:f t="shared" si="8"/>
        <x:v>0</x:v>
      </x:c>
      <x:c r="AU36" s="115"/>
      <x:c r="AV36" s="115"/>
      <x:c r="AW36" s="115"/>
      <x:c r="AX36" s="115"/>
      <x:c r="AY36" s="115"/>
      <x:c r="AZ36" s="123">
        <x:f t="shared" si="9"/>
        <x:v>0</x:v>
      </x:c>
      <x:c r="BA36" s="138">
        <x:v>21</x:v>
      </x:c>
      <x:c r="BB36" s="139"/>
      <x:c r="BC36" s="139"/>
      <x:c r="BD36" s="139"/>
      <x:c r="BE36" s="139"/>
      <x:c r="BF36" s="123">
        <x:f t="shared" si="10"/>
        <x:v>21</x:v>
      </x:c>
      <x:c r="BG36" s="138">
        <x:v>21</x:v>
      </x:c>
      <x:c r="BH36" s="139"/>
      <x:c r="BI36" s="139"/>
      <x:c r="BJ36" s="139"/>
      <x:c r="BK36" s="139"/>
      <x:c r="BL36" s="123">
        <x:f t="shared" si="11"/>
        <x:v>21</x:v>
      </x:c>
      <x:c r="BM36" s="138">
        <x:v>21</x:v>
      </x:c>
      <x:c r="BN36" s="139"/>
      <x:c r="BO36" s="139"/>
      <x:c r="BP36" s="139"/>
      <x:c r="BQ36" s="139"/>
      <x:c r="BR36" s="123">
        <x:f t="shared" si="12"/>
        <x:v>21</x:v>
      </x:c>
      <x:c r="BS36" s="138">
        <x:v>21</x:v>
      </x:c>
      <x:c r="BT36" s="139"/>
      <x:c r="BU36" s="139"/>
      <x:c r="BV36" s="139"/>
      <x:c r="BW36" s="139"/>
      <x:c r="BX36" s="123">
        <x:f t="shared" si="13"/>
        <x:v>21</x:v>
      </x:c>
      <x:c r="BY36" s="138">
        <x:v>21</x:v>
      </x:c>
      <x:c r="BZ36" s="139"/>
      <x:c r="CA36" s="139"/>
      <x:c r="CB36" s="139"/>
      <x:c r="CC36" s="139"/>
      <x:c r="CD36" s="123">
        <x:f t="shared" si="14"/>
        <x:v>21</x:v>
      </x:c>
      <x:c r="CE36" s="146">
        <x:f t="shared" si="15"/>
        <x:v>105</x:v>
      </x:c>
      <x:c r="CF36" s="73" t="s">
        <x:v>37</x:v>
      </x:c>
      <x:c r="CG36" s="73" t="s">
        <x:v>166</x:v>
      </x:c>
      <x:c r="CH36" s="142"/>
    </x:row>
    <x:row r="37" ht="54.75" customHeight="1">
      <x:c r="A37" s="154" t="s">
        <x:v>326</x:v>
      </x:c>
      <x:c r="B37" s="112" t="s">
        <x:v>277</x:v>
      </x:c>
      <x:c r="C37" s="155" t="s">
        <x:v>278</x:v>
      </x:c>
      <x:c r="D37" s="155" t="s">
        <x:v>279</x:v>
      </x:c>
      <x:c r="E37" s="155" t="s">
        <x:v>280</x:v>
      </x:c>
      <x:c r="F37" s="156">
        <x:f t="shared" si="4"/>
        <x:v>2</x:v>
      </x:c>
      <x:c r="G37" s="157">
        <x:v>2</x:v>
      </x:c>
      <x:c r="H37" s="158"/>
      <x:c r="I37" s="158"/>
      <x:c r="J37" s="158"/>
      <x:c r="K37" s="158"/>
      <x:c r="L37" s="159">
        <x:v>0.5</x:v>
      </x:c>
      <x:c r="M37" s="155" t="s">
        <x:v>282</x:v>
      </x:c>
      <x:c r="N37" s="155"/>
      <x:c r="O37" s="160" t="s">
        <x:v>36</x:v>
      </x:c>
      <x:c r="P37" s="161" t="s">
        <x:v>60</x:v>
      </x:c>
      <x:c r="Q37" s="162"/>
      <x:c r="R37" s="162"/>
      <x:c r="S37" s="162"/>
      <x:c r="T37" s="162"/>
      <x:c r="U37" s="162"/>
      <x:c r="V37" s="162"/>
      <x:c r="W37" s="165"/>
      <x:c r="X37" s="165"/>
      <x:c r="Y37" s="165"/>
      <x:c r="Z37" s="165"/>
      <x:c r="AA37" s="165"/>
      <x:c r="AB37" s="164">
        <x:f t="shared" si="5"/>
        <x:v>0</x:v>
      </x:c>
      <x:c r="AC37" s="165"/>
      <x:c r="AD37" s="165"/>
      <x:c r="AE37" s="165"/>
      <x:c r="AF37" s="165"/>
      <x:c r="AG37" s="165"/>
      <x:c r="AH37" s="164">
        <x:f t="shared" si="6"/>
        <x:v>0</x:v>
      </x:c>
      <x:c r="AI37" s="165"/>
      <x:c r="AJ37" s="165"/>
      <x:c r="AK37" s="165"/>
      <x:c r="AL37" s="165"/>
      <x:c r="AM37" s="165"/>
      <x:c r="AN37" s="164">
        <x:f t="shared" si="7"/>
        <x:v>0</x:v>
      </x:c>
      <x:c r="AO37" s="165"/>
      <x:c r="AP37" s="165"/>
      <x:c r="AQ37" s="165"/>
      <x:c r="AR37" s="165"/>
      <x:c r="AS37" s="165"/>
      <x:c r="AT37" s="164">
        <x:f t="shared" si="8"/>
        <x:v>0</x:v>
      </x:c>
      <x:c r="AU37" s="165"/>
      <x:c r="AV37" s="165"/>
      <x:c r="AW37" s="165"/>
      <x:c r="AX37" s="165"/>
      <x:c r="AY37" s="165"/>
      <x:c r="AZ37" s="164">
        <x:f t="shared" si="9"/>
        <x:v>0</x:v>
      </x:c>
      <x:c r="BA37" s="163"/>
      <x:c r="BB37" s="165"/>
      <x:c r="BC37" s="165"/>
      <x:c r="BD37" s="165"/>
      <x:c r="BE37" s="165"/>
      <x:c r="BF37" s="164">
        <x:f t="shared" si="10"/>
        <x:v>0</x:v>
      </x:c>
      <x:c r="BG37" s="163"/>
      <x:c r="BH37" s="165"/>
      <x:c r="BI37" s="165"/>
      <x:c r="BJ37" s="165"/>
      <x:c r="BK37" s="165"/>
      <x:c r="BL37" s="164">
        <x:f t="shared" si="11"/>
        <x:v>0</x:v>
      </x:c>
      <x:c r="BM37" s="163"/>
      <x:c r="BN37" s="165"/>
      <x:c r="BO37" s="165"/>
      <x:c r="BP37" s="165"/>
      <x:c r="BQ37" s="165"/>
      <x:c r="BR37" s="164">
        <x:f t="shared" si="12"/>
        <x:v>0</x:v>
      </x:c>
      <x:c r="BS37" s="163"/>
      <x:c r="BT37" s="165"/>
      <x:c r="BU37" s="165"/>
      <x:c r="BV37" s="165"/>
      <x:c r="BW37" s="165"/>
      <x:c r="BX37" s="164">
        <x:f t="shared" si="13"/>
        <x:v>0</x:v>
      </x:c>
      <x:c r="BY37" s="163"/>
      <x:c r="BZ37" s="165"/>
      <x:c r="CA37" s="165"/>
      <x:c r="CB37" s="165"/>
      <x:c r="CC37" s="165"/>
      <x:c r="CD37" s="164">
        <x:f t="shared" si="14"/>
        <x:v>0</x:v>
      </x:c>
      <x:c r="CE37" s="167">
        <x:f t="shared" si="15"/>
        <x:v>0</x:v>
      </x:c>
      <x:c r="CF37" s="168" t="s">
        <x:v>283</x:v>
      </x:c>
      <x:c r="CG37" s="169" t="s">
        <x:v>327</x:v>
      </x:c>
      <x:c r="CH37" s="171"/>
    </x:row>
    <x:row r="38" ht="54.75" customHeight="1">
      <x:c r="A38" s="76">
        <x:v>23</x:v>
      </x:c>
      <x:c r="B38" s="135" t="s">
        <x:v>167</x:v>
      </x:c>
      <x:c r="C38" s="73" t="s">
        <x:v>168</x:v>
      </x:c>
      <x:c r="D38" s="73" t="s">
        <x:v>169</x:v>
      </x:c>
      <x:c r="E38" s="73" t="s">
        <x:v>169</x:v>
      </x:c>
      <x:c r="F38" s="119">
        <x:f t="shared" si="4"/>
        <x:v>63</x:v>
      </x:c>
      <x:c r="G38" s="138">
        <x:v>22</x:v>
      </x:c>
      <x:c r="H38" s="139">
        <x:v>21</x:v>
      </x:c>
      <x:c r="I38" s="139"/>
      <x:c r="J38" s="139"/>
      <x:c r="K38" s="139">
        <x:v>20</x:v>
      </x:c>
      <x:c r="L38" s="74">
        <x:v>0.49305555555555558</x:v>
      </x:c>
      <x:c r="M38" s="73" t="s">
        <x:v>147</x:v>
      </x:c>
      <x:c r="N38" s="73"/>
      <x:c r="O38" s="75" t="s">
        <x:v>67</x:v>
      </x:c>
      <x:c r="P38" s="85" t="s">
        <x:v>29</x:v>
      </x:c>
      <x:c r="Q38" s="151"/>
      <x:c r="R38" s="151"/>
      <x:c r="S38" s="151"/>
      <x:c r="T38" s="151"/>
      <x:c r="U38" s="151"/>
      <x:c r="V38" s="151"/>
      <x:c r="W38" s="115"/>
      <x:c r="X38" s="115"/>
      <x:c r="Y38" s="115"/>
      <x:c r="Z38" s="115"/>
      <x:c r="AA38" s="115"/>
      <x:c r="AB38" s="123">
        <x:f t="shared" si="5"/>
        <x:v>0</x:v>
      </x:c>
      <x:c r="AC38" s="115"/>
      <x:c r="AD38" s="115"/>
      <x:c r="AE38" s="115"/>
      <x:c r="AF38" s="115"/>
      <x:c r="AG38" s="115"/>
      <x:c r="AH38" s="123">
        <x:f t="shared" si="6"/>
        <x:v>0</x:v>
      </x:c>
      <x:c r="AI38" s="115"/>
      <x:c r="AJ38" s="115"/>
      <x:c r="AK38" s="115"/>
      <x:c r="AL38" s="115"/>
      <x:c r="AM38" s="115"/>
      <x:c r="AN38" s="123">
        <x:f t="shared" si="7"/>
        <x:v>0</x:v>
      </x:c>
      <x:c r="AO38" s="115"/>
      <x:c r="AP38" s="115"/>
      <x:c r="AQ38" s="115"/>
      <x:c r="AR38" s="115"/>
      <x:c r="AS38" s="115"/>
      <x:c r="AT38" s="123">
        <x:f t="shared" si="8"/>
        <x:v>0</x:v>
      </x:c>
      <x:c r="AU38" s="115"/>
      <x:c r="AV38" s="115"/>
      <x:c r="AW38" s="115"/>
      <x:c r="AX38" s="115"/>
      <x:c r="AY38" s="115"/>
      <x:c r="AZ38" s="123">
        <x:f t="shared" si="9"/>
        <x:v>0</x:v>
      </x:c>
      <x:c r="BA38" s="115"/>
      <x:c r="BB38" s="115"/>
      <x:c r="BC38" s="115"/>
      <x:c r="BD38" s="115"/>
      <x:c r="BE38" s="115"/>
      <x:c r="BF38" s="123">
        <x:f t="shared" si="10"/>
        <x:v>0</x:v>
      </x:c>
      <x:c r="BG38" s="115"/>
      <x:c r="BH38" s="115"/>
      <x:c r="BI38" s="115"/>
      <x:c r="BJ38" s="115"/>
      <x:c r="BK38" s="115"/>
      <x:c r="BL38" s="123">
        <x:f t="shared" si="11"/>
        <x:v>0</x:v>
      </x:c>
      <x:c r="BM38" s="115"/>
      <x:c r="BN38" s="115"/>
      <x:c r="BO38" s="115"/>
      <x:c r="BP38" s="115"/>
      <x:c r="BQ38" s="115"/>
      <x:c r="BR38" s="123">
        <x:f t="shared" si="12"/>
        <x:v>0</x:v>
      </x:c>
      <x:c r="BS38" s="138">
        <x:v>22</x:v>
      </x:c>
      <x:c r="BT38" s="139">
        <x:v>21</x:v>
      </x:c>
      <x:c r="BU38" s="139"/>
      <x:c r="BV38" s="139"/>
      <x:c r="BW38" s="139">
        <x:v>20</x:v>
      </x:c>
      <x:c r="BX38" s="123">
        <x:f t="shared" si="13"/>
        <x:v>63</x:v>
      </x:c>
      <x:c r="BY38" s="138">
        <x:v>22</x:v>
      </x:c>
      <x:c r="BZ38" s="139">
        <x:v>21</x:v>
      </x:c>
      <x:c r="CA38" s="139"/>
      <x:c r="CB38" s="139"/>
      <x:c r="CC38" s="139">
        <x:v>20</x:v>
      </x:c>
      <x:c r="CD38" s="123">
        <x:f t="shared" si="14"/>
        <x:v>63</x:v>
      </x:c>
      <x:c r="CE38" s="146">
        <x:f t="shared" si="15"/>
        <x:v>126</x:v>
      </x:c>
      <x:c r="CF38" s="73" t="s">
        <x:v>37</x:v>
      </x:c>
      <x:c r="CG38" s="73" t="s">
        <x:v>170</x:v>
      </x:c>
      <x:c r="CH38" s="142"/>
    </x:row>
    <x:row r="39" ht="54.75" customHeight="1">
      <x:c r="A39" s="76">
        <x:v>24</x:v>
      </x:c>
      <x:c r="B39" s="135" t="s">
        <x:v>171</x:v>
      </x:c>
      <x:c r="C39" s="73" t="s">
        <x:v>172</x:v>
      </x:c>
      <x:c r="D39" s="73" t="s">
        <x:v>173</x:v>
      </x:c>
      <x:c r="E39" s="73" t="s">
        <x:v>174</x:v>
      </x:c>
      <x:c r="F39" s="119">
        <x:f t="shared" si="4"/>
        <x:v>17</x:v>
      </x:c>
      <x:c r="G39" s="138">
        <x:v>17</x:v>
      </x:c>
      <x:c r="H39" s="139"/>
      <x:c r="I39" s="139"/>
      <x:c r="J39" s="139"/>
      <x:c r="K39" s="139"/>
      <x:c r="L39" s="74">
        <x:v>0.5</x:v>
      </x:c>
      <x:c r="M39" s="73" t="s">
        <x:v>175</x:v>
      </x:c>
      <x:c r="N39" s="73"/>
      <x:c r="O39" s="75" t="s">
        <x:v>106</x:v>
      </x:c>
      <x:c r="P39" s="85" t="s">
        <x:v>29</x:v>
      </x:c>
      <x:c r="Q39" s="151"/>
      <x:c r="R39" s="151"/>
      <x:c r="S39" s="151"/>
      <x:c r="T39" s="151"/>
      <x:c r="U39" s="151"/>
      <x:c r="V39" s="151"/>
      <x:c r="W39" s="115"/>
      <x:c r="X39" s="115"/>
      <x:c r="Y39" s="115"/>
      <x:c r="Z39" s="115"/>
      <x:c r="AA39" s="115"/>
      <x:c r="AB39" s="123">
        <x:f t="shared" si="5"/>
        <x:v>0</x:v>
      </x:c>
      <x:c r="AC39" s="115"/>
      <x:c r="AD39" s="115"/>
      <x:c r="AE39" s="115"/>
      <x:c r="AF39" s="115"/>
      <x:c r="AG39" s="115"/>
      <x:c r="AH39" s="123">
        <x:f t="shared" si="6"/>
        <x:v>0</x:v>
      </x:c>
      <x:c r="AI39" s="115"/>
      <x:c r="AJ39" s="115"/>
      <x:c r="AK39" s="115"/>
      <x:c r="AL39" s="115"/>
      <x:c r="AM39" s="115"/>
      <x:c r="AN39" s="123">
        <x:f t="shared" si="7"/>
        <x:v>0</x:v>
      </x:c>
      <x:c r="AO39" s="115"/>
      <x:c r="AP39" s="115"/>
      <x:c r="AQ39" s="115"/>
      <x:c r="AR39" s="115"/>
      <x:c r="AS39" s="115"/>
      <x:c r="AT39" s="123">
        <x:f t="shared" si="8"/>
        <x:v>0</x:v>
      </x:c>
      <x:c r="AU39" s="115"/>
      <x:c r="AV39" s="115"/>
      <x:c r="AW39" s="115"/>
      <x:c r="AX39" s="115"/>
      <x:c r="AY39" s="115"/>
      <x:c r="AZ39" s="123">
        <x:f t="shared" si="9"/>
        <x:v>0</x:v>
      </x:c>
      <x:c r="BA39" s="138"/>
      <x:c r="BB39" s="115"/>
      <x:c r="BC39" s="115"/>
      <x:c r="BD39" s="115"/>
      <x:c r="BE39" s="115"/>
      <x:c r="BF39" s="123">
        <x:f t="shared" si="10"/>
        <x:v>0</x:v>
      </x:c>
      <x:c r="BG39" s="138">
        <x:v>17</x:v>
      </x:c>
      <x:c r="BH39" s="139"/>
      <x:c r="BI39" s="139"/>
      <x:c r="BJ39" s="139"/>
      <x:c r="BK39" s="139"/>
      <x:c r="BL39" s="123">
        <x:f t="shared" si="11"/>
        <x:v>17</x:v>
      </x:c>
      <x:c r="BM39" s="138">
        <x:v>17</x:v>
      </x:c>
      <x:c r="BN39" s="139"/>
      <x:c r="BO39" s="139"/>
      <x:c r="BP39" s="139"/>
      <x:c r="BQ39" s="139"/>
      <x:c r="BR39" s="123">
        <x:f t="shared" si="12"/>
        <x:v>17</x:v>
      </x:c>
      <x:c r="BS39" s="138">
        <x:v>17</x:v>
      </x:c>
      <x:c r="BT39" s="139"/>
      <x:c r="BU39" s="139"/>
      <x:c r="BV39" s="139"/>
      <x:c r="BW39" s="139"/>
      <x:c r="BX39" s="123">
        <x:f t="shared" si="13"/>
        <x:v>17</x:v>
      </x:c>
      <x:c r="BY39" s="138">
        <x:v>17</x:v>
      </x:c>
      <x:c r="BZ39" s="139"/>
      <x:c r="CA39" s="139"/>
      <x:c r="CB39" s="139"/>
      <x:c r="CC39" s="139"/>
      <x:c r="CD39" s="123">
        <x:f t="shared" si="14"/>
        <x:v>17</x:v>
      </x:c>
      <x:c r="CE39" s="146">
        <x:f t="shared" si="15"/>
        <x:v>68</x:v>
      </x:c>
      <x:c r="CF39" s="73" t="s">
        <x:v>37</x:v>
      </x:c>
      <x:c r="CG39" s="73" t="s">
        <x:v>176</x:v>
      </x:c>
      <x:c r="CH39" s="142"/>
    </x:row>
    <x:row r="40" ht="54.75" customHeight="1">
      <x:c r="A40" s="154" t="s">
        <x:v>328</x:v>
      </x:c>
      <x:c r="B40" s="112" t="s">
        <x:v>284</x:v>
      </x:c>
      <x:c r="C40" s="155" t="s">
        <x:v>172</x:v>
      </x:c>
      <x:c r="D40" s="155" t="s">
        <x:v>285</x:v>
      </x:c>
      <x:c r="E40" s="155" t="s">
        <x:v>286</x:v>
      </x:c>
      <x:c r="F40" s="156">
        <x:f t="shared" si="4"/>
        <x:v>4</x:v>
      </x:c>
      <x:c r="G40" s="157">
        <x:v>4</x:v>
      </x:c>
      <x:c r="H40" s="158"/>
      <x:c r="I40" s="158"/>
      <x:c r="J40" s="158"/>
      <x:c r="K40" s="158"/>
      <x:c r="L40" s="159">
        <x:v>0.47916666666666669</x:v>
      </x:c>
      <x:c r="M40" s="155" t="s">
        <x:v>287</x:v>
      </x:c>
      <x:c r="N40" s="155"/>
      <x:c r="O40" s="160" t="s">
        <x:v>106</x:v>
      </x:c>
      <x:c r="P40" s="161" t="s">
        <x:v>60</x:v>
      </x:c>
      <x:c r="Q40" s="162"/>
      <x:c r="R40" s="162"/>
      <x:c r="S40" s="162"/>
      <x:c r="T40" s="162"/>
      <x:c r="U40" s="162"/>
      <x:c r="V40" s="162"/>
      <x:c r="W40" s="165"/>
      <x:c r="X40" s="165"/>
      <x:c r="Y40" s="165"/>
      <x:c r="Z40" s="165"/>
      <x:c r="AA40" s="165"/>
      <x:c r="AB40" s="164">
        <x:f t="shared" si="5"/>
        <x:v>0</x:v>
      </x:c>
      <x:c r="AC40" s="165"/>
      <x:c r="AD40" s="165"/>
      <x:c r="AE40" s="165"/>
      <x:c r="AF40" s="165"/>
      <x:c r="AG40" s="165"/>
      <x:c r="AH40" s="164">
        <x:f t="shared" si="6"/>
        <x:v>0</x:v>
      </x:c>
      <x:c r="AI40" s="165"/>
      <x:c r="AJ40" s="165"/>
      <x:c r="AK40" s="165"/>
      <x:c r="AL40" s="165"/>
      <x:c r="AM40" s="165"/>
      <x:c r="AN40" s="164">
        <x:f t="shared" si="7"/>
        <x:v>0</x:v>
      </x:c>
      <x:c r="AO40" s="165"/>
      <x:c r="AP40" s="165"/>
      <x:c r="AQ40" s="165"/>
      <x:c r="AR40" s="165"/>
      <x:c r="AS40" s="165"/>
      <x:c r="AT40" s="164">
        <x:f t="shared" si="8"/>
        <x:v>0</x:v>
      </x:c>
      <x:c r="AU40" s="165"/>
      <x:c r="AV40" s="165"/>
      <x:c r="AW40" s="165"/>
      <x:c r="AX40" s="165"/>
      <x:c r="AY40" s="165"/>
      <x:c r="AZ40" s="164">
        <x:f t="shared" si="9"/>
        <x:v>0</x:v>
      </x:c>
      <x:c r="BA40" s="163"/>
      <x:c r="BB40" s="165"/>
      <x:c r="BC40" s="165"/>
      <x:c r="BD40" s="165"/>
      <x:c r="BE40" s="165"/>
      <x:c r="BF40" s="164">
        <x:f t="shared" si="10"/>
        <x:v>0</x:v>
      </x:c>
      <x:c r="BG40" s="157">
        <x:v>4</x:v>
      </x:c>
      <x:c r="BH40" s="165"/>
      <x:c r="BI40" s="165"/>
      <x:c r="BJ40" s="165"/>
      <x:c r="BK40" s="165"/>
      <x:c r="BL40" s="166">
        <x:f t="shared" si="11"/>
        <x:v>4</x:v>
      </x:c>
      <x:c r="BM40" s="157">
        <x:v>4</x:v>
      </x:c>
      <x:c r="BN40" s="165"/>
      <x:c r="BO40" s="165"/>
      <x:c r="BP40" s="165"/>
      <x:c r="BQ40" s="165"/>
      <x:c r="BR40" s="166">
        <x:f t="shared" si="12"/>
        <x:v>4</x:v>
      </x:c>
      <x:c r="BS40" s="157">
        <x:v>4</x:v>
      </x:c>
      <x:c r="BT40" s="165"/>
      <x:c r="BU40" s="165"/>
      <x:c r="BV40" s="165"/>
      <x:c r="BW40" s="165"/>
      <x:c r="BX40" s="166">
        <x:f t="shared" si="13"/>
        <x:v>4</x:v>
      </x:c>
      <x:c r="BY40" s="157">
        <x:v>4</x:v>
      </x:c>
      <x:c r="BZ40" s="165"/>
      <x:c r="CA40" s="165"/>
      <x:c r="CB40" s="165"/>
      <x:c r="CC40" s="165"/>
      <x:c r="CD40" s="166">
        <x:f t="shared" si="14"/>
        <x:v>4</x:v>
      </x:c>
      <x:c r="CE40" s="167">
        <x:f t="shared" si="15"/>
        <x:v>16</x:v>
      </x:c>
      <x:c r="CF40" s="168" t="s">
        <x:v>288</x:v>
      </x:c>
      <x:c r="CG40" s="169" t="s">
        <x:v>176</x:v>
      </x:c>
      <x:c r="CH40" s="171"/>
    </x:row>
    <x:row r="41" ht="54.75" customHeight="1">
      <x:c r="A41" s="76">
        <x:v>25</x:v>
      </x:c>
      <x:c r="B41" s="135" t="s">
        <x:v>177</x:v>
      </x:c>
      <x:c r="C41" s="73" t="s">
        <x:v>163</x:v>
      </x:c>
      <x:c r="D41" s="73" t="s">
        <x:v>178</x:v>
      </x:c>
      <x:c r="E41" s="73" t="s">
        <x:v>179</x:v>
      </x:c>
      <x:c r="F41" s="119">
        <x:f t="shared" si="4"/>
        <x:v>85</x:v>
      </x:c>
      <x:c r="G41" s="138">
        <x:v>23</x:v>
      </x:c>
      <x:c r="H41" s="139">
        <x:v>22</x:v>
      </x:c>
      <x:c r="I41" s="139">
        <x:v>19</x:v>
      </x:c>
      <x:c r="J41" s="139"/>
      <x:c r="K41" s="139">
        <x:v>21</x:v>
      </x:c>
      <x:c r="L41" s="74">
        <x:v>0.47916666666666669</x:v>
      </x:c>
      <x:c r="M41" s="73" t="s">
        <x:v>180</x:v>
      </x:c>
      <x:c r="N41" s="73"/>
      <x:c r="O41" s="75" t="s">
        <x:v>181</x:v>
      </x:c>
      <x:c r="P41" s="85" t="s">
        <x:v>29</x:v>
      </x:c>
      <x:c r="Q41" s="151"/>
      <x:c r="R41" s="151"/>
      <x:c r="S41" s="151"/>
      <x:c r="T41" s="151"/>
      <x:c r="U41" s="151"/>
      <x:c r="V41" s="151"/>
      <x:c r="W41" s="115"/>
      <x:c r="X41" s="115"/>
      <x:c r="Y41" s="115"/>
      <x:c r="Z41" s="115"/>
      <x:c r="AA41" s="115"/>
      <x:c r="AB41" s="123">
        <x:f t="shared" si="5"/>
        <x:v>0</x:v>
      </x:c>
      <x:c r="AC41" s="115"/>
      <x:c r="AD41" s="115"/>
      <x:c r="AE41" s="115"/>
      <x:c r="AF41" s="115"/>
      <x:c r="AG41" s="115"/>
      <x:c r="AH41" s="123">
        <x:f t="shared" si="6"/>
        <x:v>0</x:v>
      </x:c>
      <x:c r="AI41" s="115"/>
      <x:c r="AJ41" s="115"/>
      <x:c r="AK41" s="115"/>
      <x:c r="AL41" s="115"/>
      <x:c r="AM41" s="115"/>
      <x:c r="AN41" s="123">
        <x:f t="shared" si="7"/>
        <x:v>0</x:v>
      </x:c>
      <x:c r="AO41" s="115"/>
      <x:c r="AP41" s="115"/>
      <x:c r="AQ41" s="115"/>
      <x:c r="AR41" s="115"/>
      <x:c r="AS41" s="115"/>
      <x:c r="AT41" s="123">
        <x:f t="shared" si="8"/>
        <x:v>0</x:v>
      </x:c>
      <x:c r="AU41" s="115"/>
      <x:c r="AV41" s="115"/>
      <x:c r="AW41" s="115"/>
      <x:c r="AX41" s="115"/>
      <x:c r="AY41" s="115"/>
      <x:c r="AZ41" s="123">
        <x:f t="shared" si="9"/>
        <x:v>0</x:v>
      </x:c>
      <x:c r="BA41" s="115"/>
      <x:c r="BB41" s="115"/>
      <x:c r="BC41" s="115"/>
      <x:c r="BD41" s="115"/>
      <x:c r="BE41" s="115"/>
      <x:c r="BF41" s="123">
        <x:f t="shared" si="10"/>
        <x:v>0</x:v>
      </x:c>
      <x:c r="BG41" s="138"/>
      <x:c r="BH41" s="139"/>
      <x:c r="BI41" s="139"/>
      <x:c r="BJ41" s="139"/>
      <x:c r="BK41" s="139"/>
      <x:c r="BL41" s="123">
        <x:f t="shared" si="11"/>
        <x:v>0</x:v>
      </x:c>
      <x:c r="BM41" s="138"/>
      <x:c r="BN41" s="139"/>
      <x:c r="BO41" s="139"/>
      <x:c r="BP41" s="139"/>
      <x:c r="BQ41" s="139"/>
      <x:c r="BR41" s="123">
        <x:f t="shared" si="12"/>
        <x:v>0</x:v>
      </x:c>
      <x:c r="BS41" s="138"/>
      <x:c r="BT41" s="139"/>
      <x:c r="BU41" s="139"/>
      <x:c r="BV41" s="139"/>
      <x:c r="BW41" s="139"/>
      <x:c r="BX41" s="123">
        <x:f t="shared" si="13"/>
        <x:v>0</x:v>
      </x:c>
      <x:c r="BY41" s="138"/>
      <x:c r="BZ41" s="139"/>
      <x:c r="CA41" s="139"/>
      <x:c r="CB41" s="139"/>
      <x:c r="CC41" s="139"/>
      <x:c r="CD41" s="123">
        <x:f t="shared" si="14"/>
        <x:v>0</x:v>
      </x:c>
      <x:c r="CE41" s="146">
        <x:f t="shared" si="15"/>
        <x:v>0</x:v>
      </x:c>
      <x:c r="CF41" s="73" t="s">
        <x:v>37</x:v>
      </x:c>
      <x:c r="CG41" s="73" t="s">
        <x:v>182</x:v>
      </x:c>
      <x:c r="CH41" s="142"/>
    </x:row>
    <x:row r="42" ht="54.75" customHeight="1">
      <x:c r="A42" s="76">
        <x:v>26</x:v>
      </x:c>
      <x:c r="B42" s="135" t="s">
        <x:v>183</x:v>
      </x:c>
      <x:c r="C42" s="73" t="s">
        <x:v>184</x:v>
      </x:c>
      <x:c r="D42" s="73" t="s">
        <x:v>185</x:v>
      </x:c>
      <x:c r="E42" s="73" t="s">
        <x:v>186</x:v>
      </x:c>
      <x:c r="F42" s="119">
        <x:f t="shared" si="4"/>
        <x:v>32</x:v>
      </x:c>
      <x:c r="G42" s="138">
        <x:v>15</x:v>
      </x:c>
      <x:c r="H42" s="139">
        <x:v>17</x:v>
      </x:c>
      <x:c r="I42" s="139"/>
      <x:c r="J42" s="139"/>
      <x:c r="K42" s="139"/>
      <x:c r="L42" s="74">
        <x:v>0.4861111111111111</x:v>
      </x:c>
      <x:c r="M42" s="73" t="s">
        <x:v>187</x:v>
      </x:c>
      <x:c r="N42" s="73"/>
      <x:c r="O42" s="75" t="s">
        <x:v>106</x:v>
      </x:c>
      <x:c r="P42" s="85" t="s">
        <x:v>29</x:v>
      </x:c>
      <x:c r="Q42" s="151"/>
      <x:c r="R42" s="151"/>
      <x:c r="S42" s="151"/>
      <x:c r="T42" s="151"/>
      <x:c r="U42" s="151"/>
      <x:c r="V42" s="151"/>
      <x:c r="W42" s="115"/>
      <x:c r="X42" s="115"/>
      <x:c r="Y42" s="115"/>
      <x:c r="Z42" s="115"/>
      <x:c r="AA42" s="115"/>
      <x:c r="AB42" s="123">
        <x:f t="shared" si="5"/>
        <x:v>0</x:v>
      </x:c>
      <x:c r="AC42" s="115"/>
      <x:c r="AD42" s="115"/>
      <x:c r="AE42" s="115"/>
      <x:c r="AF42" s="115"/>
      <x:c r="AG42" s="115"/>
      <x:c r="AH42" s="123">
        <x:f t="shared" si="6"/>
        <x:v>0</x:v>
      </x:c>
      <x:c r="AI42" s="115"/>
      <x:c r="AJ42" s="115"/>
      <x:c r="AK42" s="115"/>
      <x:c r="AL42" s="115"/>
      <x:c r="AM42" s="115"/>
      <x:c r="AN42" s="123">
        <x:f t="shared" si="7"/>
        <x:v>0</x:v>
      </x:c>
      <x:c r="AO42" s="115"/>
      <x:c r="AP42" s="115"/>
      <x:c r="AQ42" s="115"/>
      <x:c r="AR42" s="115"/>
      <x:c r="AS42" s="115"/>
      <x:c r="AT42" s="123">
        <x:f t="shared" si="8"/>
        <x:v>0</x:v>
      </x:c>
      <x:c r="AU42" s="115"/>
      <x:c r="AV42" s="115"/>
      <x:c r="AW42" s="115"/>
      <x:c r="AX42" s="115"/>
      <x:c r="AY42" s="115"/>
      <x:c r="AZ42" s="123">
        <x:f t="shared" si="9"/>
        <x:v>0</x:v>
      </x:c>
      <x:c r="BA42" s="115"/>
      <x:c r="BB42" s="115"/>
      <x:c r="BC42" s="115"/>
      <x:c r="BD42" s="115"/>
      <x:c r="BE42" s="115"/>
      <x:c r="BF42" s="123">
        <x:f t="shared" si="10"/>
        <x:v>0</x:v>
      </x:c>
      <x:c r="BG42" s="115"/>
      <x:c r="BH42" s="115"/>
      <x:c r="BI42" s="115"/>
      <x:c r="BJ42" s="115"/>
      <x:c r="BK42" s="115"/>
      <x:c r="BL42" s="123">
        <x:f t="shared" si="11"/>
        <x:v>0</x:v>
      </x:c>
      <x:c r="BM42" s="138">
        <x:v>15</x:v>
      </x:c>
      <x:c r="BN42" s="139">
        <x:v>17</x:v>
      </x:c>
      <x:c r="BO42" s="139"/>
      <x:c r="BP42" s="139"/>
      <x:c r="BQ42" s="139"/>
      <x:c r="BR42" s="123">
        <x:f t="shared" si="12"/>
        <x:v>32</x:v>
      </x:c>
      <x:c r="BS42" s="138">
        <x:v>15</x:v>
      </x:c>
      <x:c r="BT42" s="139">
        <x:v>17</x:v>
      </x:c>
      <x:c r="BU42" s="139"/>
      <x:c r="BV42" s="139"/>
      <x:c r="BW42" s="139"/>
      <x:c r="BX42" s="123">
        <x:f t="shared" si="13"/>
        <x:v>32</x:v>
      </x:c>
      <x:c r="BY42" s="138">
        <x:v>15</x:v>
      </x:c>
      <x:c r="BZ42" s="139">
        <x:v>17</x:v>
      </x:c>
      <x:c r="CA42" s="139"/>
      <x:c r="CB42" s="139"/>
      <x:c r="CC42" s="139"/>
      <x:c r="CD42" s="123">
        <x:f t="shared" si="14"/>
        <x:v>32</x:v>
      </x:c>
      <x:c r="CE42" s="146">
        <x:f t="shared" si="15"/>
        <x:v>96</x:v>
      </x:c>
      <x:c r="CF42" s="73" t="s">
        <x:v>45</x:v>
      </x:c>
      <x:c r="CG42" s="73" t="s">
        <x:v>188</x:v>
      </x:c>
      <x:c r="CH42" s="142"/>
    </x:row>
    <x:row r="43" ht="54.75" customHeight="1">
      <x:c r="A43" s="76">
        <x:v>27</x:v>
      </x:c>
      <x:c r="B43" s="135" t="s">
        <x:v>189</x:v>
      </x:c>
      <x:c r="C43" s="73" t="s">
        <x:v>190</x:v>
      </x:c>
      <x:c r="D43" s="73" t="s">
        <x:v>191</x:v>
      </x:c>
      <x:c r="E43" s="73" t="s">
        <x:v>192</x:v>
      </x:c>
      <x:c r="F43" s="119">
        <x:f t="shared" si="4"/>
        <x:v>53</x:v>
      </x:c>
      <x:c r="G43" s="138">
        <x:v>19</x:v>
      </x:c>
      <x:c r="H43" s="139">
        <x:v>18</x:v>
      </x:c>
      <x:c r="I43" s="139">
        <x:v>16</x:v>
      </x:c>
      <x:c r="J43" s="139"/>
      <x:c r="K43" s="139"/>
      <x:c r="L43" s="74">
        <x:v>0.47916666666666669</x:v>
      </x:c>
      <x:c r="M43" s="73" t="s">
        <x:v>27</x:v>
      </x:c>
      <x:c r="N43" s="73"/>
      <x:c r="O43" s="75" t="s">
        <x:v>28</x:v>
      </x:c>
      <x:c r="P43" s="85" t="s">
        <x:v>29</x:v>
      </x:c>
      <x:c r="Q43" s="151"/>
      <x:c r="R43" s="151"/>
      <x:c r="S43" s="151"/>
      <x:c r="T43" s="151"/>
      <x:c r="U43" s="151"/>
      <x:c r="V43" s="151"/>
      <x:c r="W43" s="115"/>
      <x:c r="X43" s="115"/>
      <x:c r="Y43" s="115"/>
      <x:c r="Z43" s="115"/>
      <x:c r="AA43" s="115"/>
      <x:c r="AB43" s="123">
        <x:f t="shared" si="5"/>
        <x:v>0</x:v>
      </x:c>
      <x:c r="AC43" s="115"/>
      <x:c r="AD43" s="115"/>
      <x:c r="AE43" s="115"/>
      <x:c r="AF43" s="115"/>
      <x:c r="AG43" s="115"/>
      <x:c r="AH43" s="123">
        <x:f t="shared" si="6"/>
        <x:v>0</x:v>
      </x:c>
      <x:c r="AI43" s="115"/>
      <x:c r="AJ43" s="115"/>
      <x:c r="AK43" s="115"/>
      <x:c r="AL43" s="115"/>
      <x:c r="AM43" s="115"/>
      <x:c r="AN43" s="123">
        <x:f t="shared" si="7"/>
        <x:v>0</x:v>
      </x:c>
      <x:c r="AO43" s="115"/>
      <x:c r="AP43" s="115"/>
      <x:c r="AQ43" s="115"/>
      <x:c r="AR43" s="115"/>
      <x:c r="AS43" s="115"/>
      <x:c r="AT43" s="123">
        <x:f t="shared" si="8"/>
        <x:v>0</x:v>
      </x:c>
      <x:c r="AU43" s="115"/>
      <x:c r="AV43" s="115"/>
      <x:c r="AW43" s="115"/>
      <x:c r="AX43" s="115"/>
      <x:c r="AY43" s="115"/>
      <x:c r="AZ43" s="123">
        <x:f t="shared" si="9"/>
        <x:v>0</x:v>
      </x:c>
      <x:c r="BA43" s="115"/>
      <x:c r="BB43" s="115"/>
      <x:c r="BC43" s="115"/>
      <x:c r="BD43" s="115"/>
      <x:c r="BE43" s="115"/>
      <x:c r="BF43" s="123">
        <x:f t="shared" si="10"/>
        <x:v>0</x:v>
      </x:c>
      <x:c r="BG43" s="115"/>
      <x:c r="BH43" s="115"/>
      <x:c r="BI43" s="115"/>
      <x:c r="BJ43" s="115"/>
      <x:c r="BK43" s="115"/>
      <x:c r="BL43" s="123">
        <x:f t="shared" si="11"/>
        <x:v>0</x:v>
      </x:c>
      <x:c r="BM43" s="138">
        <x:v>19</x:v>
      </x:c>
      <x:c r="BN43" s="139">
        <x:v>18</x:v>
      </x:c>
      <x:c r="BO43" s="139">
        <x:v>16</x:v>
      </x:c>
      <x:c r="BP43" s="139"/>
      <x:c r="BQ43" s="139"/>
      <x:c r="BR43" s="123">
        <x:f t="shared" si="12"/>
        <x:v>53</x:v>
      </x:c>
      <x:c r="BS43" s="138">
        <x:v>19</x:v>
      </x:c>
      <x:c r="BT43" s="139">
        <x:v>18</x:v>
      </x:c>
      <x:c r="BU43" s="139">
        <x:v>16</x:v>
      </x:c>
      <x:c r="BV43" s="139"/>
      <x:c r="BW43" s="139"/>
      <x:c r="BX43" s="123">
        <x:f t="shared" si="13"/>
        <x:v>53</x:v>
      </x:c>
      <x:c r="BY43" s="138">
        <x:v>19</x:v>
      </x:c>
      <x:c r="BZ43" s="139">
        <x:v>18</x:v>
      </x:c>
      <x:c r="CA43" s="139">
        <x:v>16</x:v>
      </x:c>
      <x:c r="CB43" s="139"/>
      <x:c r="CC43" s="139"/>
      <x:c r="CD43" s="123">
        <x:f t="shared" si="14"/>
        <x:v>53</x:v>
      </x:c>
      <x:c r="CE43" s="146">
        <x:f t="shared" si="15"/>
        <x:v>159</x:v>
      </x:c>
      <x:c r="CF43" s="73" t="s">
        <x:v>30</x:v>
      </x:c>
      <x:c r="CG43" s="73" t="s">
        <x:v>193</x:v>
      </x:c>
      <x:c r="CH43" s="142"/>
    </x:row>
    <x:row r="44" ht="54.75" customHeight="1">
      <x:c r="A44" s="154" t="s">
        <x:v>329</x:v>
      </x:c>
      <x:c r="B44" s="112" t="s">
        <x:v>290</x:v>
      </x:c>
      <x:c r="C44" s="155" t="s">
        <x:v>190</x:v>
      </x:c>
      <x:c r="D44" s="155" t="s">
        <x:v>291</x:v>
      </x:c>
      <x:c r="E44" s="155" t="s">
        <x:v>292</x:v>
      </x:c>
      <x:c r="F44" s="156">
        <x:f t="shared" si="4"/>
        <x:v>9</x:v>
      </x:c>
      <x:c r="G44" s="157">
        <x:v>9</x:v>
      </x:c>
      <x:c r="H44" s="158"/>
      <x:c r="I44" s="158"/>
      <x:c r="J44" s="158"/>
      <x:c r="K44" s="158"/>
      <x:c r="L44" s="159">
        <x:v>0.5</x:v>
      </x:c>
      <x:c r="M44" s="155" t="s">
        <x:v>293</x:v>
      </x:c>
      <x:c r="N44" s="155"/>
      <x:c r="O44" s="160" t="s">
        <x:v>294</x:v>
      </x:c>
      <x:c r="P44" s="161" t="s">
        <x:v>60</x:v>
      </x:c>
      <x:c r="Q44" s="162"/>
      <x:c r="R44" s="162"/>
      <x:c r="S44" s="162"/>
      <x:c r="T44" s="162"/>
      <x:c r="U44" s="162"/>
      <x:c r="V44" s="162"/>
      <x:c r="W44" s="165"/>
      <x:c r="X44" s="165"/>
      <x:c r="Y44" s="165"/>
      <x:c r="Z44" s="165"/>
      <x:c r="AA44" s="165"/>
      <x:c r="AB44" s="164">
        <x:f t="shared" si="5"/>
        <x:v>0</x:v>
      </x:c>
      <x:c r="AC44" s="165"/>
      <x:c r="AD44" s="165"/>
      <x:c r="AE44" s="165"/>
      <x:c r="AF44" s="165"/>
      <x:c r="AG44" s="165"/>
      <x:c r="AH44" s="164">
        <x:f t="shared" si="6"/>
        <x:v>0</x:v>
      </x:c>
      <x:c r="AI44" s="165"/>
      <x:c r="AJ44" s="165"/>
      <x:c r="AK44" s="165"/>
      <x:c r="AL44" s="165"/>
      <x:c r="AM44" s="165"/>
      <x:c r="AN44" s="164">
        <x:f t="shared" si="7"/>
        <x:v>0</x:v>
      </x:c>
      <x:c r="AO44" s="165"/>
      <x:c r="AP44" s="165"/>
      <x:c r="AQ44" s="165"/>
      <x:c r="AR44" s="165"/>
      <x:c r="AS44" s="165"/>
      <x:c r="AT44" s="164">
        <x:f t="shared" si="8"/>
        <x:v>0</x:v>
      </x:c>
      <x:c r="AU44" s="165"/>
      <x:c r="AV44" s="165"/>
      <x:c r="AW44" s="165"/>
      <x:c r="AX44" s="165"/>
      <x:c r="AY44" s="165"/>
      <x:c r="AZ44" s="164">
        <x:f t="shared" si="9"/>
        <x:v>0</x:v>
      </x:c>
      <x:c r="BA44" s="165"/>
      <x:c r="BB44" s="165"/>
      <x:c r="BC44" s="165"/>
      <x:c r="BD44" s="165"/>
      <x:c r="BE44" s="165"/>
      <x:c r="BF44" s="164">
        <x:f t="shared" si="10"/>
        <x:v>0</x:v>
      </x:c>
      <x:c r="BG44" s="165"/>
      <x:c r="BH44" s="165"/>
      <x:c r="BI44" s="165"/>
      <x:c r="BJ44" s="165"/>
      <x:c r="BK44" s="165"/>
      <x:c r="BL44" s="164">
        <x:f t="shared" si="11"/>
        <x:v>0</x:v>
      </x:c>
      <x:c r="BM44" s="163"/>
      <x:c r="BN44" s="158"/>
      <x:c r="BO44" s="158"/>
      <x:c r="BP44" s="165"/>
      <x:c r="BQ44" s="165"/>
      <x:c r="BR44" s="164">
        <x:f t="shared" si="12"/>
        <x:v>0</x:v>
      </x:c>
      <x:c r="BS44" s="163"/>
      <x:c r="BT44" s="158"/>
      <x:c r="BU44" s="158"/>
      <x:c r="BV44" s="165"/>
      <x:c r="BW44" s="165"/>
      <x:c r="BX44" s="164">
        <x:f t="shared" si="13"/>
        <x:v>0</x:v>
      </x:c>
      <x:c r="BY44" s="163"/>
      <x:c r="BZ44" s="158"/>
      <x:c r="CA44" s="158"/>
      <x:c r="CB44" s="165"/>
      <x:c r="CC44" s="165"/>
      <x:c r="CD44" s="164">
        <x:f t="shared" si="14"/>
        <x:v>0</x:v>
      </x:c>
      <x:c r="CE44" s="167">
        <x:f t="shared" si="15"/>
        <x:v>0</x:v>
      </x:c>
      <x:c r="CF44" s="168" t="s">
        <x:v>288</x:v>
      </x:c>
      <x:c r="CG44" s="169" t="s">
        <x:v>193</x:v>
      </x:c>
      <x:c r="CH44" s="171"/>
    </x:row>
    <x:row r="45" ht="54.75" customHeight="1">
      <x:c r="A45" s="76">
        <x:v>28</x:v>
      </x:c>
      <x:c r="B45" s="135" t="s">
        <x:v>194</x:v>
      </x:c>
      <x:c r="C45" s="73" t="s">
        <x:v>195</x:v>
      </x:c>
      <x:c r="D45" s="73" t="s">
        <x:v>196</x:v>
      </x:c>
      <x:c r="E45" s="73" t="s">
        <x:v>197</x:v>
      </x:c>
      <x:c r="F45" s="119">
        <x:f t="shared" si="4"/>
        <x:v>52</x:v>
      </x:c>
      <x:c r="G45" s="138">
        <x:v>20</x:v>
      </x:c>
      <x:c r="H45" s="139">
        <x:v>21</x:v>
      </x:c>
      <x:c r="I45" s="139"/>
      <x:c r="J45" s="139"/>
      <x:c r="K45" s="139">
        <x:v>11</x:v>
      </x:c>
      <x:c r="L45" s="74">
        <x:v>0.50694444444444442</x:v>
      </x:c>
      <x:c r="M45" s="73" t="s">
        <x:v>198</x:v>
      </x:c>
      <x:c r="N45" s="73" t="s">
        <x:v>43</x:v>
      </x:c>
      <x:c r="O45" s="75" t="s">
        <x:v>106</x:v>
      </x:c>
      <x:c r="P45" s="85" t="s">
        <x:v>29</x:v>
      </x:c>
      <x:c r="Q45" s="151"/>
      <x:c r="R45" s="151"/>
      <x:c r="S45" s="151"/>
      <x:c r="T45" s="151"/>
      <x:c r="U45" s="151"/>
      <x:c r="V45" s="151"/>
      <x:c r="W45" s="115"/>
      <x:c r="X45" s="115"/>
      <x:c r="Y45" s="115"/>
      <x:c r="Z45" s="115"/>
      <x:c r="AA45" s="115"/>
      <x:c r="AB45" s="123">
        <x:f t="shared" si="5"/>
        <x:v>0</x:v>
      </x:c>
      <x:c r="AC45" s="115"/>
      <x:c r="AD45" s="115"/>
      <x:c r="AE45" s="115"/>
      <x:c r="AF45" s="115"/>
      <x:c r="AG45" s="115"/>
      <x:c r="AH45" s="123">
        <x:f t="shared" si="6"/>
        <x:v>0</x:v>
      </x:c>
      <x:c r="AI45" s="115"/>
      <x:c r="AJ45" s="115"/>
      <x:c r="AK45" s="115"/>
      <x:c r="AL45" s="115"/>
      <x:c r="AM45" s="115"/>
      <x:c r="AN45" s="123">
        <x:f t="shared" si="7"/>
        <x:v>0</x:v>
      </x:c>
      <x:c r="AO45" s="115"/>
      <x:c r="AP45" s="115"/>
      <x:c r="AQ45" s="115"/>
      <x:c r="AR45" s="115"/>
      <x:c r="AS45" s="115"/>
      <x:c r="AT45" s="123">
        <x:f t="shared" si="8"/>
        <x:v>0</x:v>
      </x:c>
      <x:c r="AU45" s="115"/>
      <x:c r="AV45" s="115"/>
      <x:c r="AW45" s="115"/>
      <x:c r="AX45" s="115"/>
      <x:c r="AY45" s="115"/>
      <x:c r="AZ45" s="123">
        <x:f t="shared" si="9"/>
        <x:v>0</x:v>
      </x:c>
      <x:c r="BA45" s="115"/>
      <x:c r="BB45" s="115"/>
      <x:c r="BC45" s="115"/>
      <x:c r="BD45" s="115"/>
      <x:c r="BE45" s="115"/>
      <x:c r="BF45" s="123">
        <x:f t="shared" si="10"/>
        <x:v>0</x:v>
      </x:c>
      <x:c r="BG45" s="138">
        <x:v>20</x:v>
      </x:c>
      <x:c r="BH45" s="139">
        <x:v>21</x:v>
      </x:c>
      <x:c r="BI45" s="139"/>
      <x:c r="BJ45" s="139"/>
      <x:c r="BK45" s="139">
        <x:v>11</x:v>
      </x:c>
      <x:c r="BL45" s="123">
        <x:f t="shared" si="11"/>
        <x:v>52</x:v>
      </x:c>
      <x:c r="BM45" s="138"/>
      <x:c r="BN45" s="139"/>
      <x:c r="BO45" s="139"/>
      <x:c r="BP45" s="139"/>
      <x:c r="BQ45" s="139"/>
      <x:c r="BR45" s="123">
        <x:f t="shared" si="12"/>
        <x:v>0</x:v>
      </x:c>
      <x:c r="BS45" s="138"/>
      <x:c r="BT45" s="139"/>
      <x:c r="BU45" s="139"/>
      <x:c r="BV45" s="139"/>
      <x:c r="BW45" s="139"/>
      <x:c r="BX45" s="123">
        <x:f t="shared" si="13"/>
        <x:v>0</x:v>
      </x:c>
      <x:c r="BY45" s="138"/>
      <x:c r="BZ45" s="139"/>
      <x:c r="CA45" s="139"/>
      <x:c r="CB45" s="139"/>
      <x:c r="CC45" s="139"/>
      <x:c r="CD45" s="123">
        <x:f t="shared" si="14"/>
        <x:v>0</x:v>
      </x:c>
      <x:c r="CE45" s="146">
        <x:f t="shared" si="15"/>
        <x:v>52</x:v>
      </x:c>
      <x:c r="CF45" s="73" t="s">
        <x:v>37</x:v>
      </x:c>
      <x:c r="CG45" s="73" t="s">
        <x:v>199</x:v>
      </x:c>
      <x:c r="CH45" s="142"/>
    </x:row>
    <x:row r="46" ht="54.75" customHeight="1">
      <x:c r="A46" s="76">
        <x:v>29</x:v>
      </x:c>
      <x:c r="B46" s="135" t="s">
        <x:v>200</x:v>
      </x:c>
      <x:c r="C46" s="73" t="s">
        <x:v>201</x:v>
      </x:c>
      <x:c r="D46" s="73" t="s">
        <x:v>202</x:v>
      </x:c>
      <x:c r="E46" s="73" t="s">
        <x:v>202</x:v>
      </x:c>
      <x:c r="F46" s="119">
        <x:f t="shared" si="4"/>
        <x:v>45</x:v>
      </x:c>
      <x:c r="G46" s="138">
        <x:v>23</x:v>
      </x:c>
      <x:c r="H46" s="139">
        <x:v>22</x:v>
      </x:c>
      <x:c r="I46" s="139"/>
      <x:c r="J46" s="139"/>
      <x:c r="K46" s="139"/>
      <x:c r="L46" s="74">
        <x:v>0.4861111111111111</x:v>
      </x:c>
      <x:c r="M46" s="73" t="s">
        <x:v>203</x:v>
      </x:c>
      <x:c r="N46" s="73"/>
      <x:c r="O46" s="75" t="s">
        <x:v>99</x:v>
      </x:c>
      <x:c r="P46" s="85" t="s">
        <x:v>29</x:v>
      </x:c>
      <x:c r="Q46" s="151"/>
      <x:c r="R46" s="151"/>
      <x:c r="S46" s="151"/>
      <x:c r="T46" s="151"/>
      <x:c r="U46" s="151"/>
      <x:c r="V46" s="151"/>
      <x:c r="W46" s="115"/>
      <x:c r="X46" s="115"/>
      <x:c r="Y46" s="115"/>
      <x:c r="Z46" s="115"/>
      <x:c r="AA46" s="115"/>
      <x:c r="AB46" s="123">
        <x:f t="shared" si="5"/>
        <x:v>0</x:v>
      </x:c>
      <x:c r="AC46" s="115"/>
      <x:c r="AD46" s="115"/>
      <x:c r="AE46" s="115"/>
      <x:c r="AF46" s="115"/>
      <x:c r="AG46" s="115"/>
      <x:c r="AH46" s="123">
        <x:f t="shared" si="6"/>
        <x:v>0</x:v>
      </x:c>
      <x:c r="AI46" s="115"/>
      <x:c r="AJ46" s="115"/>
      <x:c r="AK46" s="115"/>
      <x:c r="AL46" s="115"/>
      <x:c r="AM46" s="115"/>
      <x:c r="AN46" s="123">
        <x:f t="shared" si="7"/>
        <x:v>0</x:v>
      </x:c>
      <x:c r="AO46" s="115"/>
      <x:c r="AP46" s="115"/>
      <x:c r="AQ46" s="115"/>
      <x:c r="AR46" s="115"/>
      <x:c r="AS46" s="115"/>
      <x:c r="AT46" s="123">
        <x:f t="shared" si="8"/>
        <x:v>0</x:v>
      </x:c>
      <x:c r="AU46" s="115"/>
      <x:c r="AV46" s="115"/>
      <x:c r="AW46" s="115"/>
      <x:c r="AX46" s="115"/>
      <x:c r="AY46" s="115"/>
      <x:c r="AZ46" s="123">
        <x:f t="shared" si="9"/>
        <x:v>0</x:v>
      </x:c>
      <x:c r="BA46" s="138">
        <x:v>23</x:v>
      </x:c>
      <x:c r="BB46" s="139">
        <x:v>22</x:v>
      </x:c>
      <x:c r="BC46" s="139"/>
      <x:c r="BD46" s="139"/>
      <x:c r="BE46" s="139"/>
      <x:c r="BF46" s="123">
        <x:f t="shared" si="10"/>
        <x:v>45</x:v>
      </x:c>
      <x:c r="BG46" s="138">
        <x:v>23</x:v>
      </x:c>
      <x:c r="BH46" s="139">
        <x:v>22</x:v>
      </x:c>
      <x:c r="BI46" s="139"/>
      <x:c r="BJ46" s="139"/>
      <x:c r="BK46" s="139"/>
      <x:c r="BL46" s="123">
        <x:f t="shared" si="11"/>
        <x:v>45</x:v>
      </x:c>
      <x:c r="BM46" s="138">
        <x:v>23</x:v>
      </x:c>
      <x:c r="BN46" s="139">
        <x:v>22</x:v>
      </x:c>
      <x:c r="BO46" s="139"/>
      <x:c r="BP46" s="139"/>
      <x:c r="BQ46" s="139"/>
      <x:c r="BR46" s="123">
        <x:f t="shared" si="12"/>
        <x:v>45</x:v>
      </x:c>
      <x:c r="BS46" s="138">
        <x:v>23</x:v>
      </x:c>
      <x:c r="BT46" s="139">
        <x:v>22</x:v>
      </x:c>
      <x:c r="BU46" s="139"/>
      <x:c r="BV46" s="139"/>
      <x:c r="BW46" s="139"/>
      <x:c r="BX46" s="123">
        <x:f t="shared" si="13"/>
        <x:v>45</x:v>
      </x:c>
      <x:c r="BY46" s="138">
        <x:v>23</x:v>
      </x:c>
      <x:c r="BZ46" s="139">
        <x:v>22</x:v>
      </x:c>
      <x:c r="CA46" s="139"/>
      <x:c r="CB46" s="139"/>
      <x:c r="CC46" s="139"/>
      <x:c r="CD46" s="123">
        <x:f t="shared" si="14"/>
        <x:v>45</x:v>
      </x:c>
      <x:c r="CE46" s="146">
        <x:f t="shared" si="15"/>
        <x:v>225</x:v>
      </x:c>
      <x:c r="CF46" s="73" t="s">
        <x:v>37</x:v>
      </x:c>
      <x:c r="CG46" s="73" t="s">
        <x:v>204</x:v>
      </x:c>
      <x:c r="CH46" s="142"/>
    </x:row>
    <x:row r="47" ht="54.75" customHeight="1">
      <x:c r="A47" s="76">
        <x:v>30</x:v>
      </x:c>
      <x:c r="B47" s="135" t="s">
        <x:v>205</x:v>
      </x:c>
      <x:c r="C47" s="73" t="s">
        <x:v>206</x:v>
      </x:c>
      <x:c r="D47" s="73" t="s">
        <x:v>207</x:v>
      </x:c>
      <x:c r="E47" s="73" t="s">
        <x:v>208</x:v>
      </x:c>
      <x:c r="F47" s="119">
        <x:f t="shared" si="4"/>
        <x:v>13</x:v>
      </x:c>
      <x:c r="G47" s="138">
        <x:v>13</x:v>
      </x:c>
      <x:c r="H47" s="139"/>
      <x:c r="I47" s="139"/>
      <x:c r="J47" s="139"/>
      <x:c r="K47" s="139"/>
      <x:c r="L47" s="74">
        <x:v>0.47916666666666669</x:v>
      </x:c>
      <x:c r="M47" s="73" t="s">
        <x:v>147</x:v>
      </x:c>
      <x:c r="N47" s="73"/>
      <x:c r="O47" s="75" t="s">
        <x:v>67</x:v>
      </x:c>
      <x:c r="P47" s="85" t="s">
        <x:v>29</x:v>
      </x:c>
      <x:c r="Q47" s="151"/>
      <x:c r="R47" s="151"/>
      <x:c r="S47" s="151"/>
      <x:c r="T47" s="151"/>
      <x:c r="U47" s="151"/>
      <x:c r="V47" s="151"/>
      <x:c r="W47" s="115"/>
      <x:c r="X47" s="115"/>
      <x:c r="Y47" s="115"/>
      <x:c r="Z47" s="115"/>
      <x:c r="AA47" s="115"/>
      <x:c r="AB47" s="123">
        <x:f t="shared" si="5"/>
        <x:v>0</x:v>
      </x:c>
      <x:c r="AC47" s="115"/>
      <x:c r="AD47" s="115"/>
      <x:c r="AE47" s="115"/>
      <x:c r="AF47" s="115"/>
      <x:c r="AG47" s="115"/>
      <x:c r="AH47" s="123">
        <x:f t="shared" si="6"/>
        <x:v>0</x:v>
      </x:c>
      <x:c r="AI47" s="115"/>
      <x:c r="AJ47" s="115"/>
      <x:c r="AK47" s="115"/>
      <x:c r="AL47" s="115"/>
      <x:c r="AM47" s="115"/>
      <x:c r="AN47" s="123">
        <x:f t="shared" si="7"/>
        <x:v>0</x:v>
      </x:c>
      <x:c r="AO47" s="115"/>
      <x:c r="AP47" s="115"/>
      <x:c r="AQ47" s="115"/>
      <x:c r="AR47" s="115"/>
      <x:c r="AS47" s="115"/>
      <x:c r="AT47" s="123">
        <x:f t="shared" si="8"/>
        <x:v>0</x:v>
      </x:c>
      <x:c r="AU47" s="115"/>
      <x:c r="AV47" s="115"/>
      <x:c r="AW47" s="115"/>
      <x:c r="AX47" s="115"/>
      <x:c r="AY47" s="115"/>
      <x:c r="AZ47" s="123">
        <x:f t="shared" si="9"/>
        <x:v>0</x:v>
      </x:c>
      <x:c r="BA47" s="115"/>
      <x:c r="BB47" s="115"/>
      <x:c r="BC47" s="115"/>
      <x:c r="BD47" s="115"/>
      <x:c r="BE47" s="115"/>
      <x:c r="BF47" s="123">
        <x:f t="shared" si="10"/>
        <x:v>0</x:v>
      </x:c>
      <x:c r="BG47" s="115"/>
      <x:c r="BH47" s="115"/>
      <x:c r="BI47" s="115"/>
      <x:c r="BJ47" s="115"/>
      <x:c r="BK47" s="115"/>
      <x:c r="BL47" s="123">
        <x:f t="shared" si="11"/>
        <x:v>0</x:v>
      </x:c>
      <x:c r="BM47" s="115"/>
      <x:c r="BN47" s="115"/>
      <x:c r="BO47" s="115"/>
      <x:c r="BP47" s="115"/>
      <x:c r="BQ47" s="115"/>
      <x:c r="BR47" s="123">
        <x:f t="shared" si="12"/>
        <x:v>0</x:v>
      </x:c>
      <x:c r="BS47" s="138">
        <x:v>13</x:v>
      </x:c>
      <x:c r="BT47" s="139"/>
      <x:c r="BU47" s="139"/>
      <x:c r="BV47" s="139"/>
      <x:c r="BW47" s="139"/>
      <x:c r="BX47" s="123">
        <x:f t="shared" si="13"/>
        <x:v>13</x:v>
      </x:c>
      <x:c r="BY47" s="138">
        <x:v>13</x:v>
      </x:c>
      <x:c r="BZ47" s="139"/>
      <x:c r="CA47" s="139"/>
      <x:c r="CB47" s="139"/>
      <x:c r="CC47" s="139"/>
      <x:c r="CD47" s="123">
        <x:f t="shared" si="14"/>
        <x:v>13</x:v>
      </x:c>
      <x:c r="CE47" s="146">
        <x:f t="shared" si="15"/>
        <x:v>26</x:v>
      </x:c>
      <x:c r="CF47" s="73" t="s">
        <x:v>37</x:v>
      </x:c>
      <x:c r="CG47" s="73" t="s">
        <x:v>209</x:v>
      </x:c>
      <x:c r="CH47" s="142"/>
    </x:row>
    <x:row r="48" ht="54.75" customHeight="1">
      <x:c r="A48" s="76">
        <x:v>31</x:v>
      </x:c>
      <x:c r="B48" s="135" t="s">
        <x:v>210</x:v>
      </x:c>
      <x:c r="C48" s="73" t="s">
        <x:v>211</x:v>
      </x:c>
      <x:c r="D48" s="73" t="s">
        <x:v>212</x:v>
      </x:c>
      <x:c r="E48" s="73" t="s">
        <x:v>213</x:v>
      </x:c>
      <x:c r="F48" s="119">
        <x:f t="shared" si="4"/>
        <x:v>45</x:v>
      </x:c>
      <x:c r="G48" s="138">
        <x:v>23</x:v>
      </x:c>
      <x:c r="H48" s="139">
        <x:v>22</x:v>
      </x:c>
      <x:c r="I48" s="139"/>
      <x:c r="J48" s="139"/>
      <x:c r="K48" s="139"/>
      <x:c r="L48" s="74">
        <x:v>0.5</x:v>
      </x:c>
      <x:c r="M48" s="140" t="s">
        <x:v>117</x:v>
      </x:c>
      <x:c r="N48" s="73"/>
      <x:c r="O48" s="75" t="s">
        <x:v>99</x:v>
      </x:c>
      <x:c r="P48" s="85" t="s">
        <x:v>29</x:v>
      </x:c>
      <x:c r="Q48" s="151"/>
      <x:c r="R48" s="151"/>
      <x:c r="S48" s="151"/>
      <x:c r="T48" s="151"/>
      <x:c r="U48" s="151"/>
      <x:c r="V48" s="151"/>
      <x:c r="W48" s="115"/>
      <x:c r="X48" s="115"/>
      <x:c r="Y48" s="115"/>
      <x:c r="Z48" s="115"/>
      <x:c r="AA48" s="115"/>
      <x:c r="AB48" s="123">
        <x:f t="shared" si="5"/>
        <x:v>0</x:v>
      </x:c>
      <x:c r="AC48" s="115"/>
      <x:c r="AD48" s="115"/>
      <x:c r="AE48" s="115"/>
      <x:c r="AF48" s="115"/>
      <x:c r="AG48" s="115"/>
      <x:c r="AH48" s="123">
        <x:f t="shared" si="6"/>
        <x:v>0</x:v>
      </x:c>
      <x:c r="AI48" s="115"/>
      <x:c r="AJ48" s="115"/>
      <x:c r="AK48" s="115"/>
      <x:c r="AL48" s="115"/>
      <x:c r="AM48" s="115"/>
      <x:c r="AN48" s="123">
        <x:f t="shared" si="7"/>
        <x:v>0</x:v>
      </x:c>
      <x:c r="AO48" s="115"/>
      <x:c r="AP48" s="115"/>
      <x:c r="AQ48" s="115"/>
      <x:c r="AR48" s="115"/>
      <x:c r="AS48" s="115"/>
      <x:c r="AT48" s="123">
        <x:f t="shared" si="8"/>
        <x:v>0</x:v>
      </x:c>
      <x:c r="AU48" s="115"/>
      <x:c r="AV48" s="115"/>
      <x:c r="AW48" s="115"/>
      <x:c r="AX48" s="115"/>
      <x:c r="AY48" s="115"/>
      <x:c r="AZ48" s="123">
        <x:f t="shared" si="9"/>
        <x:v>0</x:v>
      </x:c>
      <x:c r="BA48" s="115"/>
      <x:c r="BB48" s="115"/>
      <x:c r="BC48" s="115"/>
      <x:c r="BD48" s="115"/>
      <x:c r="BE48" s="115"/>
      <x:c r="BF48" s="123">
        <x:f t="shared" si="10"/>
        <x:v>0</x:v>
      </x:c>
      <x:c r="BG48" s="115"/>
      <x:c r="BH48" s="115"/>
      <x:c r="BI48" s="115"/>
      <x:c r="BJ48" s="115"/>
      <x:c r="BK48" s="115"/>
      <x:c r="BL48" s="123">
        <x:f t="shared" si="11"/>
        <x:v>0</x:v>
      </x:c>
      <x:c r="BM48" s="138">
        <x:v>23</x:v>
      </x:c>
      <x:c r="BN48" s="139">
        <x:v>22</x:v>
      </x:c>
      <x:c r="BO48" s="139"/>
      <x:c r="BP48" s="139"/>
      <x:c r="BQ48" s="139"/>
      <x:c r="BR48" s="123">
        <x:f t="shared" si="12"/>
        <x:v>45</x:v>
      </x:c>
      <x:c r="BS48" s="138">
        <x:v>23</x:v>
      </x:c>
      <x:c r="BT48" s="139">
        <x:v>22</x:v>
      </x:c>
      <x:c r="BU48" s="139"/>
      <x:c r="BV48" s="139"/>
      <x:c r="BW48" s="139"/>
      <x:c r="BX48" s="123">
        <x:f t="shared" si="13"/>
        <x:v>45</x:v>
      </x:c>
      <x:c r="BY48" s="138">
        <x:v>23</x:v>
      </x:c>
      <x:c r="BZ48" s="139">
        <x:v>22</x:v>
      </x:c>
      <x:c r="CA48" s="139"/>
      <x:c r="CB48" s="139"/>
      <x:c r="CC48" s="139"/>
      <x:c r="CD48" s="123">
        <x:f t="shared" si="14"/>
        <x:v>45</x:v>
      </x:c>
      <x:c r="CE48" s="146">
        <x:f t="shared" si="15"/>
        <x:v>135</x:v>
      </x:c>
      <x:c r="CF48" s="73" t="s">
        <x:v>37</x:v>
      </x:c>
      <x:c r="CG48" s="73" t="s">
        <x:v>214</x:v>
      </x:c>
      <x:c r="CH48" s="142"/>
    </x:row>
    <x:row r="49" ht="54.75" customHeight="1">
      <x:c r="A49" s="76">
        <x:v>32</x:v>
      </x:c>
      <x:c r="B49" s="150" t="s">
        <x:v>215</x:v>
      </x:c>
      <x:c r="C49" s="73" t="s">
        <x:v>216</x:v>
      </x:c>
      <x:c r="D49" s="73" t="s">
        <x:v>217</x:v>
      </x:c>
      <x:c r="E49" s="73" t="s">
        <x:v>217</x:v>
      </x:c>
      <x:c r="F49" s="119">
        <x:f t="shared" si="4"/>
        <x:v>35</x:v>
      </x:c>
      <x:c r="G49" s="138">
        <x:v>19</x:v>
      </x:c>
      <x:c r="H49" s="139">
        <x:v>16</x:v>
      </x:c>
      <x:c r="I49" s="139"/>
      <x:c r="J49" s="139"/>
      <x:c r="K49" s="139"/>
      <x:c r="L49" s="74">
        <x:v>0.49305555555555558</x:v>
      </x:c>
      <x:c r="M49" s="73" t="s">
        <x:v>153</x:v>
      </x:c>
      <x:c r="N49" s="73"/>
      <x:c r="O49" s="75" t="s">
        <x:v>99</x:v>
      </x:c>
      <x:c r="P49" s="85" t="s">
        <x:v>29</x:v>
      </x:c>
      <x:c r="Q49" s="151"/>
      <x:c r="R49" s="151"/>
      <x:c r="S49" s="151"/>
      <x:c r="T49" s="151"/>
      <x:c r="U49" s="151"/>
      <x:c r="V49" s="151"/>
      <x:c r="W49" s="115"/>
      <x:c r="X49" s="115"/>
      <x:c r="Y49" s="115"/>
      <x:c r="Z49" s="115"/>
      <x:c r="AA49" s="115"/>
      <x:c r="AB49" s="123">
        <x:f t="shared" si="5"/>
        <x:v>0</x:v>
      </x:c>
      <x:c r="AC49" s="115"/>
      <x:c r="AD49" s="115"/>
      <x:c r="AE49" s="115"/>
      <x:c r="AF49" s="115"/>
      <x:c r="AG49" s="115"/>
      <x:c r="AH49" s="123">
        <x:f t="shared" si="6"/>
        <x:v>0</x:v>
      </x:c>
      <x:c r="AI49" s="115"/>
      <x:c r="AJ49" s="115"/>
      <x:c r="AK49" s="115"/>
      <x:c r="AL49" s="115"/>
      <x:c r="AM49" s="115"/>
      <x:c r="AN49" s="123">
        <x:f t="shared" si="7"/>
        <x:v>0</x:v>
      </x:c>
      <x:c r="AO49" s="115"/>
      <x:c r="AP49" s="115"/>
      <x:c r="AQ49" s="115"/>
      <x:c r="AR49" s="115"/>
      <x:c r="AS49" s="115"/>
      <x:c r="AT49" s="123">
        <x:f t="shared" si="8"/>
        <x:v>0</x:v>
      </x:c>
      <x:c r="AU49" s="115"/>
      <x:c r="AV49" s="115"/>
      <x:c r="AW49" s="115"/>
      <x:c r="AX49" s="115"/>
      <x:c r="AY49" s="115"/>
      <x:c r="AZ49" s="123">
        <x:f t="shared" si="9"/>
        <x:v>0</x:v>
      </x:c>
      <x:c r="BA49" s="115"/>
      <x:c r="BB49" s="115"/>
      <x:c r="BC49" s="115"/>
      <x:c r="BD49" s="115"/>
      <x:c r="BE49" s="115"/>
      <x:c r="BF49" s="123">
        <x:f t="shared" si="10"/>
        <x:v>0</x:v>
      </x:c>
      <x:c r="BG49" s="115"/>
      <x:c r="BH49" s="115"/>
      <x:c r="BI49" s="115"/>
      <x:c r="BJ49" s="115"/>
      <x:c r="BK49" s="115"/>
      <x:c r="BL49" s="123">
        <x:f t="shared" si="11"/>
        <x:v>0</x:v>
      </x:c>
      <x:c r="BM49" s="115"/>
      <x:c r="BN49" s="115"/>
      <x:c r="BO49" s="115"/>
      <x:c r="BP49" s="115"/>
      <x:c r="BQ49" s="115"/>
      <x:c r="BR49" s="123">
        <x:f t="shared" si="12"/>
        <x:v>0</x:v>
      </x:c>
      <x:c r="BS49" s="138">
        <x:v>19</x:v>
      </x:c>
      <x:c r="BT49" s="139">
        <x:v>16</x:v>
      </x:c>
      <x:c r="BU49" s="139"/>
      <x:c r="BV49" s="139"/>
      <x:c r="BW49" s="139"/>
      <x:c r="BX49" s="123">
        <x:f t="shared" si="13"/>
        <x:v>35</x:v>
      </x:c>
      <x:c r="BY49" s="138">
        <x:v>19</x:v>
      </x:c>
      <x:c r="BZ49" s="139">
        <x:v>16</x:v>
      </x:c>
      <x:c r="CA49" s="139"/>
      <x:c r="CB49" s="139"/>
      <x:c r="CC49" s="139"/>
      <x:c r="CD49" s="123">
        <x:f t="shared" si="14"/>
        <x:v>35</x:v>
      </x:c>
      <x:c r="CE49" s="146">
        <x:f t="shared" si="15"/>
        <x:v>70</x:v>
      </x:c>
      <x:c r="CF49" s="73" t="s">
        <x:v>45</x:v>
      </x:c>
      <x:c r="CG49" s="73" t="s">
        <x:v>218</x:v>
      </x:c>
      <x:c r="CH49" s="142"/>
    </x:row>
  </x:sheetData>
  <x:mergeCells>
    <x:mergeCell ref="Q6:V6"/>
    <x:mergeCell ref="A8:B8"/>
    <x:mergeCell ref="B5:CG5"/>
    <x:mergeCell ref="A6:A7"/>
    <x:mergeCell ref="B6:B7"/>
    <x:mergeCell ref="C6:C7"/>
    <x:mergeCell ref="D6:D7"/>
    <x:mergeCell ref="E6:E7"/>
    <x:mergeCell ref="F6:K6"/>
    <x:mergeCell ref="L6:P6"/>
    <x:mergeCell ref="W6:AB6"/>
    <x:mergeCell ref="AC6:AH6"/>
    <x:mergeCell ref="AI6:AN6"/>
    <x:mergeCell ref="AO6:AT6"/>
    <x:mergeCell ref="BA6:BF6"/>
    <x:mergeCell ref="AU6:AZ6"/>
    <x:mergeCell ref="CH6:CH7"/>
    <x:mergeCell ref="CE6:CE7"/>
    <x:mergeCell ref="BM6:BR6"/>
    <x:mergeCell ref="BG6:BL6"/>
    <x:mergeCell ref="BY6:CD6"/>
    <x:mergeCell ref="BS6:BX6"/>
    <x:mergeCell ref="CF6:CG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FF0000"/>
  </x:sheetPr>
  <x:sheetFormatPr defaultColWidth="15" defaultRowHeight="13.5"/>
  <x:cols>
    <x:col min="1" max="1" width="11" style="68" customWidth="1"/>
    <x:col min="2" max="2" width="24.77734375" style="68" customWidth="1"/>
    <x:col min="3" max="3" width="29.109375" style="68" customWidth="1"/>
    <x:col min="4" max="5" width="47.21875" style="68" customWidth="1"/>
    <x:col min="6" max="6" width="11.5546875" style="68" customWidth="1"/>
    <x:col min="7" max="7" width="9.77734375" style="68" customWidth="1"/>
    <x:col min="8" max="11" width="7.77734375" style="68" customWidth="1"/>
    <x:col min="12" max="12" width="12.77734375" style="68" customWidth="1"/>
    <x:col min="13" max="13" width="33.44140625" style="68" customWidth="1"/>
    <x:col min="14" max="14" width="31.5546875" style="68" customWidth="1"/>
    <x:col min="15" max="15" width="11.88671875" style="68" customWidth="1"/>
    <x:col min="16" max="16" width="10.5546875" style="68" customWidth="1"/>
    <x:col min="17" max="17" width="10.5546875" style="126" customWidth="1"/>
    <x:col min="18" max="21" width="10.5546875" style="68" customWidth="1"/>
    <x:col min="22" max="23" width="10.5546875" style="126" customWidth="1"/>
    <x:col min="24" max="27" width="10.5546875" style="68" customWidth="1"/>
    <x:col min="28" max="29" width="10.5546875" style="126" customWidth="1"/>
    <x:col min="30" max="33" width="10.5546875" style="68" customWidth="1"/>
    <x:col min="34" max="35" width="10.5546875" style="126" customWidth="1"/>
    <x:col min="36" max="39" width="10.5546875" style="68" customWidth="1"/>
    <x:col min="40" max="41" width="10.5546875" style="126" customWidth="1"/>
    <x:col min="42" max="45" width="10.5546875" style="68" customWidth="1"/>
    <x:col min="46" max="47" width="10.5546875" style="126" customWidth="1"/>
    <x:col min="48" max="51" width="10.5546875" style="68" customWidth="1"/>
    <x:col min="52" max="53" width="10.5546875" style="126" customWidth="1"/>
    <x:col min="54" max="57" width="10.5546875" style="68" customWidth="1"/>
    <x:col min="58" max="59" width="10.5546875" style="126" customWidth="1"/>
    <x:col min="60" max="63" width="10.5546875" style="68" customWidth="1"/>
    <x:col min="64" max="65" width="10.5546875" style="126" customWidth="1"/>
    <x:col min="66" max="69" width="10.5546875" style="68" customWidth="1"/>
    <x:col min="70" max="71" width="10.5546875" style="126" customWidth="1"/>
    <x:col min="72" max="75" width="10.5546875" style="68" customWidth="1"/>
    <x:col min="76" max="77" width="10.5546875" style="126" customWidth="1"/>
    <x:col min="78" max="81" width="10.5546875" style="68" customWidth="1"/>
    <x:col min="82" max="83" width="10.5546875" style="126" customWidth="1"/>
    <x:col min="84" max="87" width="10.5546875" style="68" customWidth="1"/>
    <x:col min="88" max="89" width="10.5546875" style="126" customWidth="1"/>
    <x:col min="90" max="93" width="10.5546875" style="68" customWidth="1"/>
    <x:col min="94" max="95" width="10.5546875" style="126" customWidth="1"/>
    <x:col min="96" max="99" width="10.5546875" style="68" customWidth="1"/>
    <x:col min="100" max="101" width="10.5546875" style="126" customWidth="1"/>
    <x:col min="102" max="105" width="10.5546875" style="68" customWidth="1"/>
    <x:col min="106" max="107" width="10.5546875" style="126" customWidth="1"/>
    <x:col min="108" max="111" width="10.5546875" style="68" customWidth="1"/>
    <x:col min="112" max="113" width="10.5546875" style="126" customWidth="1"/>
    <x:col min="114" max="117" width="10.5546875" style="68" customWidth="1"/>
    <x:col min="118" max="119" width="10.5546875" style="126" customWidth="1"/>
    <x:col min="120" max="123" width="10.5546875" style="68" customWidth="1"/>
    <x:col min="124" max="125" width="10.5546875" style="126" customWidth="1"/>
    <x:col min="126" max="129" width="10.5546875" style="68" customWidth="1"/>
    <x:col min="130" max="131" width="10.5546875" style="126" customWidth="1"/>
    <x:col min="132" max="135" width="10.5546875" style="68" customWidth="1"/>
    <x:col min="136" max="136" width="10.5546875" style="126" customWidth="1"/>
    <x:col min="137" max="137" width="17.109375" style="68" customWidth="1"/>
    <x:col min="138" max="138" width="28.88671875" style="68" customWidth="1"/>
    <x:col min="139" max="140" width="22.88671875" style="68" customWidth="1"/>
    <x:col min="141" max="16384" width="15" style="68" customWidth="0"/>
  </x:cols>
  <x:sheetData>
    <x:row r="1" s="121" customFormat="1" ht="48.75" customHeight="1">
      <x:c r="A1" s="120" t="s">
        <x:v>330</x:v>
      </x:c>
      <x:c r="B1" s="120"/>
      <x:c r="C1" s="120"/>
      <x:c r="D1" s="120"/>
      <x:c r="E1" s="120"/>
      <x:c r="F1" s="120"/>
      <x:c r="G1" s="120"/>
      <x:c r="H1" s="120"/>
      <x:c r="I1" s="120"/>
      <x:c r="J1" s="120"/>
      <x:c r="K1" s="120"/>
      <x:c r="L1" s="120"/>
      <x:c r="M1" s="120"/>
      <x:c r="N1" s="120"/>
      <x:c r="O1" s="120"/>
      <x:c r="P1" s="120"/>
      <x:c r="Q1" s="124"/>
      <x:c r="R1" s="120"/>
      <x:c r="S1" s="120"/>
      <x:c r="T1" s="120"/>
      <x:c r="U1" s="120"/>
      <x:c r="V1" s="124"/>
      <x:c r="W1" s="124"/>
      <x:c r="X1" s="120"/>
      <x:c r="Y1" s="120"/>
      <x:c r="Z1" s="120"/>
      <x:c r="AA1" s="120"/>
      <x:c r="AB1" s="124"/>
      <x:c r="AC1" s="124"/>
      <x:c r="AD1" s="120"/>
      <x:c r="AE1" s="120"/>
      <x:c r="AF1" s="120"/>
      <x:c r="AG1" s="120"/>
      <x:c r="AH1" s="124"/>
      <x:c r="AI1" s="124"/>
      <x:c r="AJ1" s="120"/>
      <x:c r="AK1" s="120"/>
      <x:c r="AL1" s="120"/>
      <x:c r="AM1" s="120"/>
      <x:c r="AN1" s="124"/>
      <x:c r="AO1" s="124"/>
      <x:c r="AP1" s="120"/>
      <x:c r="AQ1" s="120"/>
      <x:c r="AR1" s="120"/>
      <x:c r="AS1" s="120"/>
      <x:c r="AT1" s="124"/>
      <x:c r="AU1" s="124"/>
      <x:c r="AV1" s="120"/>
      <x:c r="AW1" s="120"/>
      <x:c r="AX1" s="120"/>
      <x:c r="AY1" s="120"/>
      <x:c r="AZ1" s="124"/>
      <x:c r="BA1" s="124"/>
      <x:c r="BB1" s="120"/>
      <x:c r="BC1" s="120"/>
      <x:c r="BD1" s="120"/>
      <x:c r="BE1" s="120"/>
      <x:c r="BF1" s="124"/>
      <x:c r="BG1" s="124"/>
      <x:c r="BH1" s="120"/>
      <x:c r="BI1" s="120"/>
      <x:c r="BJ1" s="120"/>
      <x:c r="BK1" s="120"/>
      <x:c r="BL1" s="124"/>
      <x:c r="BM1" s="124"/>
      <x:c r="BN1" s="120"/>
      <x:c r="BO1" s="120"/>
      <x:c r="BP1" s="120"/>
      <x:c r="BQ1" s="120"/>
      <x:c r="BR1" s="124"/>
      <x:c r="BS1" s="124"/>
      <x:c r="BT1" s="120"/>
      <x:c r="BU1" s="120"/>
      <x:c r="BV1" s="120"/>
      <x:c r="BW1" s="120"/>
      <x:c r="BX1" s="124"/>
      <x:c r="BY1" s="124"/>
      <x:c r="BZ1" s="120"/>
      <x:c r="CA1" s="120"/>
      <x:c r="CB1" s="120"/>
      <x:c r="CC1" s="120"/>
      <x:c r="CD1" s="124"/>
      <x:c r="CE1" s="124"/>
      <x:c r="CF1" s="120"/>
      <x:c r="CG1" s="120"/>
      <x:c r="CH1" s="120"/>
      <x:c r="CI1" s="120"/>
      <x:c r="CJ1" s="124"/>
      <x:c r="CK1" s="124"/>
      <x:c r="CL1" s="120"/>
      <x:c r="CM1" s="120"/>
      <x:c r="CN1" s="120"/>
      <x:c r="CO1" s="120"/>
      <x:c r="CP1" s="124"/>
      <x:c r="CQ1" s="124"/>
      <x:c r="CR1" s="120"/>
      <x:c r="CS1" s="120"/>
      <x:c r="CT1" s="120"/>
      <x:c r="CU1" s="120"/>
      <x:c r="CV1" s="124"/>
      <x:c r="CW1" s="124"/>
      <x:c r="CX1" s="120"/>
      <x:c r="CY1" s="120"/>
      <x:c r="CZ1" s="120"/>
      <x:c r="DA1" s="120"/>
      <x:c r="DB1" s="124"/>
      <x:c r="DC1" s="124"/>
      <x:c r="DD1" s="120"/>
      <x:c r="DE1" s="120"/>
      <x:c r="DF1" s="120"/>
      <x:c r="DG1" s="120"/>
      <x:c r="DH1" s="124"/>
      <x:c r="DI1" s="124"/>
      <x:c r="DJ1" s="120"/>
      <x:c r="DK1" s="120"/>
      <x:c r="DL1" s="120"/>
      <x:c r="DM1" s="120"/>
      <x:c r="DN1" s="124"/>
      <x:c r="DO1" s="124"/>
      <x:c r="DP1" s="120"/>
      <x:c r="DQ1" s="120"/>
      <x:c r="DR1" s="120"/>
      <x:c r="DS1" s="120"/>
      <x:c r="DT1" s="124"/>
      <x:c r="DU1" s="124"/>
      <x:c r="DV1" s="120"/>
      <x:c r="DW1" s="120"/>
      <x:c r="DX1" s="120"/>
      <x:c r="DY1" s="120"/>
      <x:c r="DZ1" s="124"/>
      <x:c r="EA1" s="124"/>
      <x:c r="EB1" s="120"/>
      <x:c r="EC1" s="120"/>
      <x:c r="ED1" s="120"/>
      <x:c r="EE1" s="120"/>
      <x:c r="EF1" s="124"/>
      <x:c r="EG1" s="120"/>
      <x:c r="EH1" s="120"/>
      <x:c r="EI1" s="120"/>
    </x:row>
    <x:row r="2" s="70" customFormat="1" ht="48.75" customHeight="1">
      <x:c r="A2" s="109"/>
      <x:c r="B2" s="109"/>
      <x:c r="C2" s="109"/>
      <x:c r="D2" s="109"/>
      <x:c r="E2" s="109"/>
      <x:c r="F2" s="109"/>
      <x:c r="G2" s="109"/>
      <x:c r="H2" s="109"/>
      <x:c r="I2" s="109"/>
      <x:c r="J2" s="109"/>
      <x:c r="K2" s="109"/>
      <x:c r="L2" s="109"/>
      <x:c r="M2" s="109"/>
      <x:c r="N2" s="109"/>
      <x:c r="O2" s="109"/>
      <x:c r="P2" s="109"/>
      <x:c r="Q2" s="125"/>
      <x:c r="R2" s="109"/>
      <x:c r="S2" s="109"/>
      <x:c r="T2" s="109"/>
      <x:c r="U2" s="109"/>
      <x:c r="V2" s="125"/>
      <x:c r="W2" s="125"/>
      <x:c r="X2" s="109"/>
      <x:c r="Y2" s="109"/>
      <x:c r="Z2" s="109"/>
      <x:c r="AA2" s="109"/>
      <x:c r="AB2" s="125"/>
      <x:c r="AC2" s="125"/>
      <x:c r="AD2" s="109"/>
      <x:c r="AE2" s="109"/>
      <x:c r="AF2" s="109"/>
      <x:c r="AG2" s="109"/>
      <x:c r="AH2" s="125"/>
      <x:c r="AI2" s="125"/>
      <x:c r="AJ2" s="109"/>
      <x:c r="AK2" s="109"/>
      <x:c r="AL2" s="109"/>
      <x:c r="AM2" s="109"/>
      <x:c r="AN2" s="125"/>
      <x:c r="AO2" s="125"/>
      <x:c r="AP2" s="109"/>
      <x:c r="AQ2" s="109"/>
      <x:c r="AR2" s="109"/>
      <x:c r="AS2" s="109"/>
      <x:c r="AT2" s="125"/>
      <x:c r="AU2" s="125"/>
      <x:c r="AV2" s="109"/>
      <x:c r="AW2" s="109"/>
      <x:c r="AX2" s="109"/>
      <x:c r="AY2" s="109"/>
      <x:c r="AZ2" s="125"/>
      <x:c r="BA2" s="125"/>
      <x:c r="BB2" s="109"/>
      <x:c r="BC2" s="109"/>
      <x:c r="BD2" s="109"/>
      <x:c r="BE2" s="109"/>
      <x:c r="BF2" s="125"/>
      <x:c r="BG2" s="125"/>
      <x:c r="BH2" s="109"/>
      <x:c r="BI2" s="109"/>
      <x:c r="BJ2" s="109"/>
      <x:c r="BK2" s="109"/>
      <x:c r="BL2" s="125"/>
      <x:c r="BM2" s="125"/>
      <x:c r="BN2" s="109"/>
      <x:c r="BO2" s="109"/>
      <x:c r="BP2" s="109"/>
      <x:c r="BQ2" s="109"/>
      <x:c r="BR2" s="125"/>
      <x:c r="BS2" s="125"/>
      <x:c r="BT2" s="109"/>
      <x:c r="BU2" s="109"/>
      <x:c r="BV2" s="109"/>
      <x:c r="BW2" s="109"/>
      <x:c r="BX2" s="125"/>
      <x:c r="BY2" s="125"/>
      <x:c r="BZ2" s="109"/>
      <x:c r="CA2" s="109"/>
      <x:c r="CB2" s="109"/>
      <x:c r="CC2" s="109"/>
      <x:c r="CD2" s="125"/>
      <x:c r="CE2" s="125"/>
      <x:c r="CF2" s="109"/>
      <x:c r="CG2" s="109"/>
      <x:c r="CH2" s="109"/>
      <x:c r="CI2" s="109"/>
      <x:c r="CJ2" s="125"/>
      <x:c r="CK2" s="125"/>
      <x:c r="CL2" s="109"/>
      <x:c r="CM2" s="109"/>
      <x:c r="CN2" s="109"/>
      <x:c r="CO2" s="109"/>
      <x:c r="CP2" s="125"/>
      <x:c r="CQ2" s="125"/>
      <x:c r="CR2" s="109"/>
      <x:c r="CS2" s="109"/>
      <x:c r="CT2" s="109"/>
      <x:c r="CU2" s="109"/>
      <x:c r="CV2" s="125"/>
      <x:c r="CW2" s="125"/>
      <x:c r="CX2" s="109"/>
      <x:c r="CY2" s="109"/>
      <x:c r="CZ2" s="109"/>
      <x:c r="DA2" s="109"/>
      <x:c r="DB2" s="125"/>
      <x:c r="DC2" s="125"/>
      <x:c r="DD2" s="109"/>
      <x:c r="DE2" s="109"/>
      <x:c r="DF2" s="109"/>
      <x:c r="DG2" s="109"/>
      <x:c r="DH2" s="125"/>
      <x:c r="DI2" s="125"/>
      <x:c r="DJ2" s="109"/>
      <x:c r="DK2" s="109"/>
      <x:c r="DL2" s="109"/>
      <x:c r="DM2" s="109"/>
      <x:c r="DN2" s="125"/>
      <x:c r="DO2" s="125"/>
      <x:c r="DP2" s="109"/>
      <x:c r="DQ2" s="109"/>
      <x:c r="DR2" s="109"/>
      <x:c r="DS2" s="109"/>
      <x:c r="DT2" s="125"/>
      <x:c r="DU2" s="125"/>
      <x:c r="DV2" s="109"/>
      <x:c r="DW2" s="109"/>
      <x:c r="DX2" s="109"/>
      <x:c r="DY2" s="109"/>
      <x:c r="DZ2" s="125"/>
      <x:c r="EA2" s="125"/>
      <x:c r="EB2" s="109"/>
      <x:c r="EC2" s="109"/>
      <x:c r="ED2" s="109"/>
      <x:c r="EE2" s="109"/>
      <x:c r="EF2" s="125"/>
      <x:c r="EG2" s="109"/>
      <x:c r="EH2" s="109"/>
      <x:c r="EI2" s="109"/>
    </x:row>
    <x:row r="3" s="70" customFormat="1" ht="48.75" customHeight="1">
      <x:c r="C3" s="122" t="s">
        <x:v>299</x:v>
      </x:c>
      <x:c r="D3" s="109"/>
      <x:c r="E3" s="109"/>
      <x:c r="F3" s="109"/>
      <x:c r="G3" s="109"/>
      <x:c r="H3" s="109"/>
      <x:c r="I3" s="109"/>
      <x:c r="J3" s="109"/>
      <x:c r="K3" s="109"/>
      <x:c r="L3" s="109"/>
      <x:c r="M3" s="109"/>
      <x:c r="N3" s="109"/>
      <x:c r="O3" s="109"/>
      <x:c r="P3" s="109"/>
      <x:c r="Q3" s="125"/>
      <x:c r="R3" s="109"/>
      <x:c r="S3" s="109"/>
      <x:c r="T3" s="109"/>
      <x:c r="U3" s="109"/>
      <x:c r="V3" s="125"/>
      <x:c r="W3" s="125"/>
      <x:c r="X3" s="109"/>
      <x:c r="Y3" s="109"/>
      <x:c r="Z3" s="109"/>
      <x:c r="AA3" s="109"/>
      <x:c r="AB3" s="125"/>
      <x:c r="AC3" s="125"/>
      <x:c r="AD3" s="109"/>
      <x:c r="AE3" s="109"/>
      <x:c r="AF3" s="109"/>
      <x:c r="AG3" s="109"/>
      <x:c r="AH3" s="125"/>
      <x:c r="AI3" s="125"/>
      <x:c r="AJ3" s="109"/>
      <x:c r="AK3" s="109"/>
      <x:c r="AL3" s="109"/>
      <x:c r="AM3" s="109"/>
      <x:c r="AN3" s="125"/>
      <x:c r="AO3" s="125"/>
      <x:c r="AP3" s="109"/>
      <x:c r="AQ3" s="109"/>
      <x:c r="AR3" s="109"/>
      <x:c r="AS3" s="109"/>
      <x:c r="AT3" s="125"/>
      <x:c r="AU3" s="125"/>
      <x:c r="AV3" s="109"/>
      <x:c r="AW3" s="109"/>
      <x:c r="AX3" s="109"/>
      <x:c r="AY3" s="109"/>
      <x:c r="AZ3" s="125"/>
      <x:c r="BA3" s="125"/>
      <x:c r="BB3" s="109"/>
      <x:c r="BC3" s="109"/>
      <x:c r="BD3" s="109"/>
      <x:c r="BE3" s="109"/>
      <x:c r="BF3" s="125"/>
      <x:c r="BG3" s="125"/>
      <x:c r="BH3" s="109"/>
      <x:c r="BI3" s="109"/>
      <x:c r="BJ3" s="109"/>
      <x:c r="BK3" s="109"/>
      <x:c r="BL3" s="125"/>
      <x:c r="BM3" s="125"/>
      <x:c r="BN3" s="109"/>
      <x:c r="BO3" s="109"/>
      <x:c r="BP3" s="109"/>
      <x:c r="BQ3" s="109"/>
      <x:c r="BR3" s="125"/>
      <x:c r="BS3" s="125"/>
      <x:c r="BT3" s="109"/>
      <x:c r="BU3" s="109"/>
      <x:c r="BV3" s="109"/>
      <x:c r="BW3" s="109"/>
      <x:c r="BX3" s="125"/>
      <x:c r="BY3" s="125"/>
      <x:c r="BZ3" s="109"/>
      <x:c r="CA3" s="109"/>
      <x:c r="CB3" s="109"/>
      <x:c r="CC3" s="109"/>
      <x:c r="CD3" s="125"/>
      <x:c r="CE3" s="125"/>
      <x:c r="CF3" s="109"/>
      <x:c r="CG3" s="109"/>
      <x:c r="CH3" s="109"/>
      <x:c r="CI3" s="109"/>
      <x:c r="CJ3" s="125"/>
      <x:c r="CK3" s="125"/>
      <x:c r="CL3" s="109"/>
      <x:c r="CM3" s="109"/>
      <x:c r="CN3" s="109"/>
      <x:c r="CO3" s="109"/>
      <x:c r="CP3" s="125"/>
      <x:c r="CQ3" s="125"/>
      <x:c r="CR3" s="109"/>
      <x:c r="CS3" s="109"/>
      <x:c r="CT3" s="109"/>
      <x:c r="CU3" s="109"/>
      <x:c r="CV3" s="125"/>
      <x:c r="CW3" s="125"/>
      <x:c r="CX3" s="109"/>
      <x:c r="CY3" s="109"/>
      <x:c r="CZ3" s="109"/>
      <x:c r="DA3" s="109"/>
      <x:c r="DB3" s="125"/>
      <x:c r="DC3" s="125"/>
      <x:c r="DD3" s="109"/>
      <x:c r="DE3" s="109"/>
      <x:c r="DF3" s="109"/>
      <x:c r="DG3" s="109"/>
      <x:c r="DH3" s="125"/>
      <x:c r="DI3" s="125"/>
      <x:c r="DJ3" s="109"/>
      <x:c r="DK3" s="109"/>
      <x:c r="DL3" s="109"/>
      <x:c r="DM3" s="109"/>
      <x:c r="DN3" s="125"/>
      <x:c r="DO3" s="125"/>
      <x:c r="DP3" s="109"/>
      <x:c r="DQ3" s="109"/>
      <x:c r="DR3" s="109"/>
      <x:c r="DS3" s="109"/>
      <x:c r="DT3" s="125"/>
      <x:c r="DU3" s="125"/>
      <x:c r="DV3" s="109"/>
      <x:c r="DW3" s="109"/>
      <x:c r="DX3" s="109"/>
      <x:c r="DY3" s="109"/>
      <x:c r="DZ3" s="125"/>
      <x:c r="EA3" s="125"/>
      <x:c r="EB3" s="109"/>
      <x:c r="EC3" s="109"/>
      <x:c r="ED3" s="109"/>
      <x:c r="EE3" s="109"/>
      <x:c r="EF3" s="125"/>
      <x:c r="EG3" s="109"/>
      <x:c r="EH3" s="109"/>
      <x:c r="EI3" s="109"/>
    </x:row>
    <x:row r="4" s="70" customFormat="1" ht="48.75" customHeight="1">
      <x:c r="A4" s="109"/>
      <x:c r="B4" s="109"/>
      <x:c r="C4" s="109"/>
      <x:c r="D4" s="109"/>
      <x:c r="E4" s="109"/>
      <x:c r="F4" s="109"/>
      <x:c r="G4" s="109"/>
      <x:c r="H4" s="109"/>
      <x:c r="I4" s="109"/>
      <x:c r="J4" s="109"/>
      <x:c r="K4" s="109"/>
      <x:c r="L4" s="109"/>
      <x:c r="M4" s="109"/>
      <x:c r="N4" s="109"/>
      <x:c r="O4" s="109"/>
      <x:c r="P4" s="109"/>
      <x:c r="Q4" s="125"/>
      <x:c r="R4" s="109"/>
      <x:c r="S4" s="109"/>
      <x:c r="T4" s="109"/>
      <x:c r="U4" s="109"/>
      <x:c r="V4" s="125"/>
      <x:c r="W4" s="125"/>
      <x:c r="X4" s="109"/>
      <x:c r="Y4" s="109"/>
      <x:c r="Z4" s="109"/>
      <x:c r="AA4" s="109"/>
      <x:c r="AB4" s="125"/>
      <x:c r="AC4" s="125"/>
      <x:c r="AD4" s="109"/>
      <x:c r="AE4" s="109"/>
      <x:c r="AF4" s="109"/>
      <x:c r="AG4" s="109"/>
      <x:c r="AH4" s="125"/>
      <x:c r="AI4" s="125"/>
      <x:c r="AJ4" s="109"/>
      <x:c r="AK4" s="109"/>
      <x:c r="AL4" s="109"/>
      <x:c r="AM4" s="109"/>
      <x:c r="AN4" s="125"/>
      <x:c r="AO4" s="125"/>
      <x:c r="AP4" s="109"/>
      <x:c r="AQ4" s="109"/>
      <x:c r="AR4" s="109"/>
      <x:c r="AS4" s="109"/>
      <x:c r="AT4" s="125"/>
      <x:c r="AU4" s="125"/>
      <x:c r="AV4" s="109"/>
      <x:c r="AW4" s="109"/>
      <x:c r="AX4" s="109"/>
      <x:c r="AY4" s="109"/>
      <x:c r="AZ4" s="125"/>
      <x:c r="BA4" s="125"/>
      <x:c r="BB4" s="109"/>
      <x:c r="BC4" s="109"/>
      <x:c r="BD4" s="109"/>
      <x:c r="BE4" s="109"/>
      <x:c r="BF4" s="125"/>
      <x:c r="BG4" s="125"/>
      <x:c r="BH4" s="109"/>
      <x:c r="BI4" s="109"/>
      <x:c r="BJ4" s="109"/>
      <x:c r="BK4" s="109"/>
      <x:c r="BL4" s="125"/>
      <x:c r="BM4" s="125"/>
      <x:c r="BN4" s="109"/>
      <x:c r="BO4" s="109"/>
      <x:c r="BP4" s="109"/>
      <x:c r="BQ4" s="109"/>
      <x:c r="BR4" s="125"/>
      <x:c r="BS4" s="125"/>
      <x:c r="BT4" s="109"/>
      <x:c r="BU4" s="109"/>
      <x:c r="BV4" s="109"/>
      <x:c r="BW4" s="109"/>
      <x:c r="BX4" s="125"/>
      <x:c r="BY4" s="125"/>
      <x:c r="BZ4" s="109"/>
      <x:c r="CA4" s="109"/>
      <x:c r="CB4" s="109"/>
      <x:c r="CC4" s="109"/>
      <x:c r="CD4" s="125"/>
      <x:c r="CE4" s="125"/>
      <x:c r="CF4" s="109"/>
      <x:c r="CG4" s="109"/>
      <x:c r="CH4" s="109"/>
      <x:c r="CI4" s="109"/>
      <x:c r="CJ4" s="125"/>
      <x:c r="CK4" s="125"/>
      <x:c r="CL4" s="109"/>
      <x:c r="CM4" s="109"/>
      <x:c r="CN4" s="109"/>
      <x:c r="CO4" s="109"/>
      <x:c r="CP4" s="125"/>
      <x:c r="CQ4" s="125"/>
      <x:c r="CR4" s="109"/>
      <x:c r="CS4" s="109"/>
      <x:c r="CT4" s="109"/>
      <x:c r="CU4" s="109"/>
      <x:c r="CV4" s="125"/>
      <x:c r="CW4" s="125"/>
      <x:c r="CX4" s="109"/>
      <x:c r="CY4" s="109"/>
      <x:c r="CZ4" s="109"/>
      <x:c r="DA4" s="109"/>
      <x:c r="DB4" s="125"/>
      <x:c r="DC4" s="125"/>
      <x:c r="DD4" s="109"/>
      <x:c r="DE4" s="109"/>
      <x:c r="DF4" s="109"/>
      <x:c r="DG4" s="109"/>
      <x:c r="DH4" s="125"/>
      <x:c r="DI4" s="125"/>
      <x:c r="DJ4" s="109"/>
      <x:c r="DK4" s="109"/>
      <x:c r="DL4" s="109"/>
      <x:c r="DM4" s="109"/>
      <x:c r="DN4" s="125"/>
      <x:c r="DO4" s="125"/>
      <x:c r="DP4" s="109"/>
      <x:c r="DQ4" s="109"/>
      <x:c r="DR4" s="109"/>
      <x:c r="DS4" s="109"/>
      <x:c r="DT4" s="125"/>
      <x:c r="DU4" s="125"/>
      <x:c r="DV4" s="109"/>
      <x:c r="DW4" s="109"/>
      <x:c r="DX4" s="109"/>
      <x:c r="DY4" s="109"/>
      <x:c r="DZ4" s="125"/>
      <x:c r="EA4" s="125"/>
      <x:c r="EB4" s="109"/>
      <x:c r="EC4" s="109"/>
      <x:c r="ED4" s="109"/>
      <x:c r="EE4" s="109"/>
      <x:c r="EF4" s="125"/>
      <x:c r="EG4" s="109"/>
      <x:c r="EH4" s="109"/>
      <x:c r="EI4" s="109"/>
    </x:row>
    <x:row r="5" s="69" customFormat="1" ht="8.25" customHeight="1">
      <x:c r="B5" s="193"/>
      <x:c r="C5" s="193"/>
      <x:c r="D5" s="193"/>
      <x:c r="E5" s="193"/>
      <x:c r="F5" s="193"/>
      <x:c r="G5" s="193"/>
      <x:c r="H5" s="193"/>
      <x:c r="I5" s="193"/>
      <x:c r="J5" s="193"/>
      <x:c r="K5" s="193"/>
      <x:c r="L5" s="193"/>
      <x:c r="M5" s="193"/>
      <x:c r="N5" s="193"/>
      <x:c r="O5" s="193"/>
      <x:c r="P5" s="193"/>
      <x:c r="Q5" s="193"/>
      <x:c r="R5" s="193"/>
      <x:c r="S5" s="193"/>
      <x:c r="T5" s="193"/>
      <x:c r="U5" s="193"/>
      <x:c r="V5" s="193"/>
      <x:c r="W5" s="193"/>
      <x:c r="X5" s="193"/>
      <x:c r="Y5" s="193"/>
      <x:c r="Z5" s="193"/>
      <x:c r="AA5" s="193"/>
      <x:c r="AB5" s="193"/>
      <x:c r="AC5" s="193"/>
      <x:c r="AD5" s="193"/>
      <x:c r="AE5" s="193"/>
      <x:c r="AF5" s="193"/>
      <x:c r="AG5" s="193"/>
      <x:c r="AH5" s="193"/>
      <x:c r="AI5" s="193"/>
      <x:c r="AJ5" s="193"/>
      <x:c r="AK5" s="193"/>
      <x:c r="AL5" s="193"/>
      <x:c r="AM5" s="193"/>
      <x:c r="AN5" s="193"/>
      <x:c r="AO5" s="193"/>
      <x:c r="AP5" s="193"/>
      <x:c r="AQ5" s="193"/>
      <x:c r="AR5" s="193"/>
      <x:c r="AS5" s="193"/>
      <x:c r="AT5" s="193"/>
      <x:c r="AU5" s="193"/>
      <x:c r="AV5" s="193"/>
      <x:c r="AW5" s="193"/>
      <x:c r="AX5" s="193"/>
      <x:c r="AY5" s="193"/>
      <x:c r="AZ5" s="193"/>
      <x:c r="BA5" s="193"/>
      <x:c r="BB5" s="193"/>
      <x:c r="BC5" s="193"/>
      <x:c r="BD5" s="193"/>
      <x:c r="BE5" s="193"/>
      <x:c r="BF5" s="193"/>
      <x:c r="BG5" s="193"/>
      <x:c r="BH5" s="193"/>
      <x:c r="BI5" s="193"/>
      <x:c r="BJ5" s="193"/>
      <x:c r="BK5" s="193"/>
      <x:c r="BL5" s="193"/>
      <x:c r="BM5" s="193"/>
      <x:c r="BN5" s="193"/>
      <x:c r="BO5" s="193"/>
      <x:c r="BP5" s="193"/>
      <x:c r="BQ5" s="193"/>
      <x:c r="BR5" s="193"/>
      <x:c r="BS5" s="193"/>
      <x:c r="BT5" s="193"/>
      <x:c r="BU5" s="193"/>
      <x:c r="BV5" s="193"/>
      <x:c r="BW5" s="193"/>
      <x:c r="BX5" s="193"/>
      <x:c r="BY5" s="193"/>
      <x:c r="BZ5" s="193"/>
      <x:c r="CA5" s="193"/>
      <x:c r="CB5" s="193"/>
      <x:c r="CC5" s="193"/>
      <x:c r="CD5" s="193"/>
      <x:c r="CE5" s="193"/>
      <x:c r="CF5" s="193"/>
      <x:c r="CG5" s="193"/>
      <x:c r="CH5" s="193"/>
      <x:c r="CI5" s="193"/>
      <x:c r="CJ5" s="193"/>
      <x:c r="CK5" s="193"/>
      <x:c r="CL5" s="193"/>
      <x:c r="CM5" s="193"/>
      <x:c r="CN5" s="193"/>
      <x:c r="CO5" s="193"/>
      <x:c r="CP5" s="193"/>
      <x:c r="CQ5" s="193"/>
      <x:c r="CR5" s="193"/>
      <x:c r="CS5" s="193"/>
      <x:c r="CT5" s="193"/>
      <x:c r="CU5" s="193"/>
      <x:c r="CV5" s="193"/>
      <x:c r="CW5" s="193"/>
      <x:c r="CX5" s="193"/>
      <x:c r="CY5" s="193"/>
      <x:c r="CZ5" s="193"/>
      <x:c r="DA5" s="193"/>
      <x:c r="DB5" s="193"/>
      <x:c r="DC5" s="193"/>
      <x:c r="DD5" s="193"/>
      <x:c r="DE5" s="193"/>
      <x:c r="DF5" s="193"/>
      <x:c r="DG5" s="193"/>
      <x:c r="DH5" s="193"/>
      <x:c r="DI5" s="193"/>
      <x:c r="DJ5" s="193"/>
      <x:c r="DK5" s="193"/>
      <x:c r="DL5" s="193"/>
      <x:c r="DM5" s="193"/>
      <x:c r="DN5" s="193"/>
      <x:c r="DO5" s="193"/>
      <x:c r="DP5" s="193"/>
      <x:c r="DQ5" s="193"/>
      <x:c r="DR5" s="193"/>
      <x:c r="DS5" s="193"/>
      <x:c r="DT5" s="193"/>
      <x:c r="DU5" s="193"/>
      <x:c r="DV5" s="193"/>
      <x:c r="DW5" s="193"/>
      <x:c r="DX5" s="193"/>
      <x:c r="DY5" s="193"/>
      <x:c r="DZ5" s="193"/>
      <x:c r="EA5" s="193"/>
      <x:c r="EB5" s="193"/>
      <x:c r="EC5" s="193"/>
      <x:c r="ED5" s="193"/>
      <x:c r="EE5" s="193"/>
      <x:c r="EF5" s="193"/>
      <x:c r="EG5" s="193"/>
      <x:c r="EH5" s="193"/>
      <x:c r="EI5" s="193"/>
    </x:row>
    <x:row r="6" s="71" customFormat="1" ht="39" customHeight="1">
      <x:c r="A6" s="192" t="s">
        <x:v>1</x:v>
      </x:c>
      <x:c r="B6" s="190" t="s">
        <x:v>2</x:v>
      </x:c>
      <x:c r="C6" s="190" t="s">
        <x:v>3</x:v>
      </x:c>
      <x:c r="D6" s="190" t="s">
        <x:v>4</x:v>
      </x:c>
      <x:c r="E6" s="190" t="s">
        <x:v>5</x:v>
      </x:c>
      <x:c r="F6" s="186" t="s">
        <x:v>6</x:v>
      </x:c>
      <x:c r="G6" s="187"/>
      <x:c r="H6" s="187"/>
      <x:c r="I6" s="187"/>
      <x:c r="J6" s="187"/>
      <x:c r="K6" s="188"/>
      <x:c r="L6" s="190" t="s">
        <x:v>7</x:v>
      </x:c>
      <x:c r="M6" s="190"/>
      <x:c r="N6" s="190"/>
      <x:c r="O6" s="190"/>
      <x:c r="P6" s="190"/>
      <x:c r="Q6" s="186" t="s">
        <x:v>331</x:v>
      </x:c>
      <x:c r="R6" s="187"/>
      <x:c r="S6" s="187"/>
      <x:c r="T6" s="187"/>
      <x:c r="U6" s="187"/>
      <x:c r="V6" s="188"/>
      <x:c r="W6" s="186" t="s">
        <x:v>332</x:v>
      </x:c>
      <x:c r="X6" s="187"/>
      <x:c r="Y6" s="187"/>
      <x:c r="Z6" s="187"/>
      <x:c r="AA6" s="187"/>
      <x:c r="AB6" s="188"/>
      <x:c r="AC6" s="186" t="s">
        <x:v>333</x:v>
      </x:c>
      <x:c r="AD6" s="187"/>
      <x:c r="AE6" s="187"/>
      <x:c r="AF6" s="187"/>
      <x:c r="AG6" s="187"/>
      <x:c r="AH6" s="188"/>
      <x:c r="AI6" s="186" t="s">
        <x:v>334</x:v>
      </x:c>
      <x:c r="AJ6" s="187"/>
      <x:c r="AK6" s="187"/>
      <x:c r="AL6" s="187"/>
      <x:c r="AM6" s="187"/>
      <x:c r="AN6" s="188"/>
      <x:c r="AO6" s="186" t="s">
        <x:v>335</x:v>
      </x:c>
      <x:c r="AP6" s="187"/>
      <x:c r="AQ6" s="187"/>
      <x:c r="AR6" s="187"/>
      <x:c r="AS6" s="187"/>
      <x:c r="AT6" s="188"/>
      <x:c r="AU6" s="186" t="s">
        <x:v>336</x:v>
      </x:c>
      <x:c r="AV6" s="187"/>
      <x:c r="AW6" s="187"/>
      <x:c r="AX6" s="187"/>
      <x:c r="AY6" s="187"/>
      <x:c r="AZ6" s="188"/>
      <x:c r="BA6" s="190" t="s">
        <x:v>337</x:v>
      </x:c>
      <x:c r="BB6" s="190"/>
      <x:c r="BC6" s="190"/>
      <x:c r="BD6" s="190"/>
      <x:c r="BE6" s="190"/>
      <x:c r="BF6" s="190"/>
      <x:c r="BG6" s="190" t="s">
        <x:v>338</x:v>
      </x:c>
      <x:c r="BH6" s="190"/>
      <x:c r="BI6" s="190"/>
      <x:c r="BJ6" s="190"/>
      <x:c r="BK6" s="190"/>
      <x:c r="BL6" s="190"/>
      <x:c r="BM6" s="190" t="s">
        <x:v>339</x:v>
      </x:c>
      <x:c r="BN6" s="190"/>
      <x:c r="BO6" s="190"/>
      <x:c r="BP6" s="190"/>
      <x:c r="BQ6" s="190"/>
      <x:c r="BR6" s="190"/>
      <x:c r="BS6" s="190" t="s">
        <x:v>340</x:v>
      </x:c>
      <x:c r="BT6" s="190"/>
      <x:c r="BU6" s="190"/>
      <x:c r="BV6" s="190"/>
      <x:c r="BW6" s="190"/>
      <x:c r="BX6" s="190"/>
      <x:c r="BY6" s="186" t="s">
        <x:v>341</x:v>
      </x:c>
      <x:c r="BZ6" s="187"/>
      <x:c r="CA6" s="187"/>
      <x:c r="CB6" s="187"/>
      <x:c r="CC6" s="187"/>
      <x:c r="CD6" s="188"/>
      <x:c r="CE6" s="186" t="s">
        <x:v>342</x:v>
      </x:c>
      <x:c r="CF6" s="187"/>
      <x:c r="CG6" s="187"/>
      <x:c r="CH6" s="187"/>
      <x:c r="CI6" s="187"/>
      <x:c r="CJ6" s="188"/>
      <x:c r="CK6" s="186" t="s">
        <x:v>343</x:v>
      </x:c>
      <x:c r="CL6" s="187"/>
      <x:c r="CM6" s="187"/>
      <x:c r="CN6" s="187"/>
      <x:c r="CO6" s="187"/>
      <x:c r="CP6" s="188"/>
      <x:c r="CQ6" s="186" t="s">
        <x:v>344</x:v>
      </x:c>
      <x:c r="CR6" s="187"/>
      <x:c r="CS6" s="187"/>
      <x:c r="CT6" s="187"/>
      <x:c r="CU6" s="187"/>
      <x:c r="CV6" s="188"/>
      <x:c r="CW6" s="186" t="s">
        <x:v>345</x:v>
      </x:c>
      <x:c r="CX6" s="187"/>
      <x:c r="CY6" s="187"/>
      <x:c r="CZ6" s="187"/>
      <x:c r="DA6" s="187"/>
      <x:c r="DB6" s="188"/>
      <x:c r="DC6" s="186" t="s">
        <x:v>346</x:v>
      </x:c>
      <x:c r="DD6" s="187"/>
      <x:c r="DE6" s="187"/>
      <x:c r="DF6" s="187"/>
      <x:c r="DG6" s="187"/>
      <x:c r="DH6" s="188"/>
      <x:c r="DI6" s="186" t="s">
        <x:v>347</x:v>
      </x:c>
      <x:c r="DJ6" s="187"/>
      <x:c r="DK6" s="187"/>
      <x:c r="DL6" s="187"/>
      <x:c r="DM6" s="187"/>
      <x:c r="DN6" s="188"/>
      <x:c r="DO6" s="186" t="s">
        <x:v>348</x:v>
      </x:c>
      <x:c r="DP6" s="187"/>
      <x:c r="DQ6" s="187"/>
      <x:c r="DR6" s="187"/>
      <x:c r="DS6" s="187"/>
      <x:c r="DT6" s="188"/>
      <x:c r="DU6" s="186" t="s">
        <x:v>349</x:v>
      </x:c>
      <x:c r="DV6" s="187"/>
      <x:c r="DW6" s="187"/>
      <x:c r="DX6" s="187"/>
      <x:c r="DY6" s="187"/>
      <x:c r="DZ6" s="188"/>
      <x:c r="EA6" s="186" t="s">
        <x:v>350</x:v>
      </x:c>
      <x:c r="EB6" s="187"/>
      <x:c r="EC6" s="187"/>
      <x:c r="ED6" s="187"/>
      <x:c r="EE6" s="187"/>
      <x:c r="EF6" s="188"/>
      <x:c r="EG6" s="203" t="s">
        <x:v>351</x:v>
      </x:c>
      <x:c r="EH6" s="190" t="s">
        <x:v>8</x:v>
      </x:c>
      <x:c r="EI6" s="190"/>
      <x:c r="EJ6" s="185" t="s">
        <x:v>9</x:v>
      </x:c>
    </x:row>
    <x:row r="7" s="71" customFormat="1" ht="57.75" customHeight="1">
      <x:c r="A7" s="192"/>
      <x:c r="B7" s="190"/>
      <x:c r="C7" s="190"/>
      <x:c r="D7" s="190"/>
      <x:c r="E7" s="190"/>
      <x:c r="F7" s="110" t="s">
        <x:v>10</x:v>
      </x:c>
      <x:c r="G7" s="108" t="s">
        <x:v>11</x:v>
      </x:c>
      <x:c r="H7" s="110" t="s">
        <x:v>12</x:v>
      </x:c>
      <x:c r="I7" s="110" t="s">
        <x:v>13</x:v>
      </x:c>
      <x:c r="J7" s="110" t="s">
        <x:v>14</x:v>
      </x:c>
      <x:c r="K7" s="112" t="s">
        <x:v>15</x:v>
      </x:c>
      <x:c r="L7" s="110" t="s">
        <x:v>16</x:v>
      </x:c>
      <x:c r="M7" s="110" t="s">
        <x:v>17</x:v>
      </x:c>
      <x:c r="N7" s="110" t="s">
        <x:v>18</x:v>
      </x:c>
      <x:c r="O7" s="110" t="s">
        <x:v>19</x:v>
      </x:c>
      <x:c r="P7" s="110" t="s">
        <x:v>20</x:v>
      </x:c>
      <x:c r="Q7" s="110" t="s">
        <x:v>312</x:v>
      </x:c>
      <x:c r="R7" s="110" t="s">
        <x:v>12</x:v>
      </x:c>
      <x:c r="S7" s="110" t="s">
        <x:v>13</x:v>
      </x:c>
      <x:c r="T7" s="110" t="s">
        <x:v>14</x:v>
      </x:c>
      <x:c r="U7" s="110" t="s">
        <x:v>15</x:v>
      </x:c>
      <x:c r="V7" s="110" t="s">
        <x:v>313</x:v>
      </x:c>
      <x:c r="W7" s="110" t="s">
        <x:v>312</x:v>
      </x:c>
      <x:c r="X7" s="110" t="s">
        <x:v>12</x:v>
      </x:c>
      <x:c r="Y7" s="110" t="s">
        <x:v>13</x:v>
      </x:c>
      <x:c r="Z7" s="110" t="s">
        <x:v>14</x:v>
      </x:c>
      <x:c r="AA7" s="110" t="s">
        <x:v>15</x:v>
      </x:c>
      <x:c r="AB7" s="110" t="s">
        <x:v>313</x:v>
      </x:c>
      <x:c r="AC7" s="110" t="s">
        <x:v>312</x:v>
      </x:c>
      <x:c r="AD7" s="110" t="s">
        <x:v>12</x:v>
      </x:c>
      <x:c r="AE7" s="110" t="s">
        <x:v>13</x:v>
      </x:c>
      <x:c r="AF7" s="110" t="s">
        <x:v>14</x:v>
      </x:c>
      <x:c r="AG7" s="110" t="s">
        <x:v>15</x:v>
      </x:c>
      <x:c r="AH7" s="110" t="s">
        <x:v>313</x:v>
      </x:c>
      <x:c r="AI7" s="110" t="s">
        <x:v>312</x:v>
      </x:c>
      <x:c r="AJ7" s="110" t="s">
        <x:v>12</x:v>
      </x:c>
      <x:c r="AK7" s="110" t="s">
        <x:v>13</x:v>
      </x:c>
      <x:c r="AL7" s="110" t="s">
        <x:v>14</x:v>
      </x:c>
      <x:c r="AM7" s="110" t="s">
        <x:v>15</x:v>
      </x:c>
      <x:c r="AN7" s="110" t="s">
        <x:v>313</x:v>
      </x:c>
      <x:c r="AO7" s="110" t="s">
        <x:v>312</x:v>
      </x:c>
      <x:c r="AP7" s="110" t="s">
        <x:v>12</x:v>
      </x:c>
      <x:c r="AQ7" s="110" t="s">
        <x:v>13</x:v>
      </x:c>
      <x:c r="AR7" s="110" t="s">
        <x:v>14</x:v>
      </x:c>
      <x:c r="AS7" s="110" t="s">
        <x:v>15</x:v>
      </x:c>
      <x:c r="AT7" s="110" t="s">
        <x:v>313</x:v>
      </x:c>
      <x:c r="AU7" s="110" t="s">
        <x:v>312</x:v>
      </x:c>
      <x:c r="AV7" s="110" t="s">
        <x:v>12</x:v>
      </x:c>
      <x:c r="AW7" s="110" t="s">
        <x:v>13</x:v>
      </x:c>
      <x:c r="AX7" s="110" t="s">
        <x:v>14</x:v>
      </x:c>
      <x:c r="AY7" s="110" t="s">
        <x:v>15</x:v>
      </x:c>
      <x:c r="AZ7" s="110" t="s">
        <x:v>313</x:v>
      </x:c>
      <x:c r="BA7" s="110" t="s">
        <x:v>312</x:v>
      </x:c>
      <x:c r="BB7" s="110" t="s">
        <x:v>12</x:v>
      </x:c>
      <x:c r="BC7" s="110" t="s">
        <x:v>13</x:v>
      </x:c>
      <x:c r="BD7" s="110" t="s">
        <x:v>14</x:v>
      </x:c>
      <x:c r="BE7" s="110" t="s">
        <x:v>15</x:v>
      </x:c>
      <x:c r="BF7" s="110" t="s">
        <x:v>313</x:v>
      </x:c>
      <x:c r="BG7" s="110" t="s">
        <x:v>312</x:v>
      </x:c>
      <x:c r="BH7" s="110" t="s">
        <x:v>12</x:v>
      </x:c>
      <x:c r="BI7" s="110" t="s">
        <x:v>13</x:v>
      </x:c>
      <x:c r="BJ7" s="110" t="s">
        <x:v>14</x:v>
      </x:c>
      <x:c r="BK7" s="110" t="s">
        <x:v>15</x:v>
      </x:c>
      <x:c r="BL7" s="110" t="s">
        <x:v>313</x:v>
      </x:c>
      <x:c r="BM7" s="110" t="s">
        <x:v>312</x:v>
      </x:c>
      <x:c r="BN7" s="110" t="s">
        <x:v>12</x:v>
      </x:c>
      <x:c r="BO7" s="110" t="s">
        <x:v>13</x:v>
      </x:c>
      <x:c r="BP7" s="110" t="s">
        <x:v>14</x:v>
      </x:c>
      <x:c r="BQ7" s="110" t="s">
        <x:v>15</x:v>
      </x:c>
      <x:c r="BR7" s="110" t="s">
        <x:v>313</x:v>
      </x:c>
      <x:c r="BS7" s="110" t="s">
        <x:v>312</x:v>
      </x:c>
      <x:c r="BT7" s="110" t="s">
        <x:v>12</x:v>
      </x:c>
      <x:c r="BU7" s="110" t="s">
        <x:v>13</x:v>
      </x:c>
      <x:c r="BV7" s="110" t="s">
        <x:v>14</x:v>
      </x:c>
      <x:c r="BW7" s="110" t="s">
        <x:v>15</x:v>
      </x:c>
      <x:c r="BX7" s="110" t="s">
        <x:v>313</x:v>
      </x:c>
      <x:c r="BY7" s="110" t="s">
        <x:v>312</x:v>
      </x:c>
      <x:c r="BZ7" s="110" t="s">
        <x:v>12</x:v>
      </x:c>
      <x:c r="CA7" s="110" t="s">
        <x:v>13</x:v>
      </x:c>
      <x:c r="CB7" s="110" t="s">
        <x:v>14</x:v>
      </x:c>
      <x:c r="CC7" s="110" t="s">
        <x:v>15</x:v>
      </x:c>
      <x:c r="CD7" s="110" t="s">
        <x:v>313</x:v>
      </x:c>
      <x:c r="CE7" s="110" t="s">
        <x:v>312</x:v>
      </x:c>
      <x:c r="CF7" s="110" t="s">
        <x:v>12</x:v>
      </x:c>
      <x:c r="CG7" s="110" t="s">
        <x:v>13</x:v>
      </x:c>
      <x:c r="CH7" s="110" t="s">
        <x:v>14</x:v>
      </x:c>
      <x:c r="CI7" s="110" t="s">
        <x:v>15</x:v>
      </x:c>
      <x:c r="CJ7" s="110" t="s">
        <x:v>313</x:v>
      </x:c>
      <x:c r="CK7" s="110" t="s">
        <x:v>312</x:v>
      </x:c>
      <x:c r="CL7" s="110" t="s">
        <x:v>12</x:v>
      </x:c>
      <x:c r="CM7" s="110" t="s">
        <x:v>13</x:v>
      </x:c>
      <x:c r="CN7" s="110" t="s">
        <x:v>14</x:v>
      </x:c>
      <x:c r="CO7" s="110" t="s">
        <x:v>15</x:v>
      </x:c>
      <x:c r="CP7" s="110" t="s">
        <x:v>313</x:v>
      </x:c>
      <x:c r="CQ7" s="110" t="s">
        <x:v>312</x:v>
      </x:c>
      <x:c r="CR7" s="110" t="s">
        <x:v>12</x:v>
      </x:c>
      <x:c r="CS7" s="110" t="s">
        <x:v>13</x:v>
      </x:c>
      <x:c r="CT7" s="110" t="s">
        <x:v>14</x:v>
      </x:c>
      <x:c r="CU7" s="110" t="s">
        <x:v>15</x:v>
      </x:c>
      <x:c r="CV7" s="110" t="s">
        <x:v>313</x:v>
      </x:c>
      <x:c r="CW7" s="110" t="s">
        <x:v>312</x:v>
      </x:c>
      <x:c r="CX7" s="110" t="s">
        <x:v>12</x:v>
      </x:c>
      <x:c r="CY7" s="110" t="s">
        <x:v>13</x:v>
      </x:c>
      <x:c r="CZ7" s="110" t="s">
        <x:v>14</x:v>
      </x:c>
      <x:c r="DA7" s="110" t="s">
        <x:v>15</x:v>
      </x:c>
      <x:c r="DB7" s="110" t="s">
        <x:v>313</x:v>
      </x:c>
      <x:c r="DC7" s="110" t="s">
        <x:v>312</x:v>
      </x:c>
      <x:c r="DD7" s="110" t="s">
        <x:v>12</x:v>
      </x:c>
      <x:c r="DE7" s="110" t="s">
        <x:v>13</x:v>
      </x:c>
      <x:c r="DF7" s="110" t="s">
        <x:v>14</x:v>
      </x:c>
      <x:c r="DG7" s="110" t="s">
        <x:v>15</x:v>
      </x:c>
      <x:c r="DH7" s="110" t="s">
        <x:v>313</x:v>
      </x:c>
      <x:c r="DI7" s="110" t="s">
        <x:v>312</x:v>
      </x:c>
      <x:c r="DJ7" s="110" t="s">
        <x:v>12</x:v>
      </x:c>
      <x:c r="DK7" s="110" t="s">
        <x:v>13</x:v>
      </x:c>
      <x:c r="DL7" s="110" t="s">
        <x:v>14</x:v>
      </x:c>
      <x:c r="DM7" s="110" t="s">
        <x:v>15</x:v>
      </x:c>
      <x:c r="DN7" s="110" t="s">
        <x:v>313</x:v>
      </x:c>
      <x:c r="DO7" s="110" t="s">
        <x:v>312</x:v>
      </x:c>
      <x:c r="DP7" s="110" t="s">
        <x:v>12</x:v>
      </x:c>
      <x:c r="DQ7" s="110" t="s">
        <x:v>13</x:v>
      </x:c>
      <x:c r="DR7" s="110" t="s">
        <x:v>14</x:v>
      </x:c>
      <x:c r="DS7" s="110" t="s">
        <x:v>15</x:v>
      </x:c>
      <x:c r="DT7" s="110" t="s">
        <x:v>313</x:v>
      </x:c>
      <x:c r="DU7" s="110" t="s">
        <x:v>312</x:v>
      </x:c>
      <x:c r="DV7" s="110" t="s">
        <x:v>12</x:v>
      </x:c>
      <x:c r="DW7" s="110" t="s">
        <x:v>13</x:v>
      </x:c>
      <x:c r="DX7" s="110" t="s">
        <x:v>14</x:v>
      </x:c>
      <x:c r="DY7" s="110" t="s">
        <x:v>15</x:v>
      </x:c>
      <x:c r="DZ7" s="110" t="s">
        <x:v>313</x:v>
      </x:c>
      <x:c r="EA7" s="110" t="s">
        <x:v>312</x:v>
      </x:c>
      <x:c r="EB7" s="110" t="s">
        <x:v>12</x:v>
      </x:c>
      <x:c r="EC7" s="110" t="s">
        <x:v>13</x:v>
      </x:c>
      <x:c r="ED7" s="110" t="s">
        <x:v>14</x:v>
      </x:c>
      <x:c r="EE7" s="110" t="s">
        <x:v>15</x:v>
      </x:c>
      <x:c r="EF7" s="110" t="s">
        <x:v>313</x:v>
      </x:c>
      <x:c r="EG7" s="204"/>
      <x:c r="EH7" s="110" t="s">
        <x:v>21</x:v>
      </x:c>
      <x:c r="EI7" s="110" t="s">
        <x:v>22</x:v>
      </x:c>
      <x:c r="EJ7" s="185"/>
    </x:row>
    <x:row r="8" s="71" customFormat="1" ht="41.25" customHeight="1">
      <x:c r="A8" s="191"/>
      <x:c r="B8" s="191"/>
      <x:c r="C8" s="111"/>
      <x:c r="D8" s="111"/>
      <x:c r="E8" s="111"/>
      <x:c r="F8" s="118" t="n">
        <x:f t="shared" ref="F8:K8" si="0">SUM(F9:F49)</x:f>
        <x:v>1157</x:v>
      </x:c>
      <x:c r="G8" s="118">
        <x:f t="shared" si="0"/>
        <x:v>631</x:v>
      </x:c>
      <x:c r="H8" s="118">
        <x:f t="shared" si="0"/>
        <x:v>355</x:v>
      </x:c>
      <x:c r="I8" s="118">
        <x:f t="shared" si="0"/>
        <x:v>85</x:v>
      </x:c>
      <x:c r="J8" s="118">
        <x:f t="shared" si="0"/>
        <x:v>20</x:v>
      </x:c>
      <x:c r="K8" s="118">
        <x:f t="shared" si="0"/>
        <x:v>66</x:v>
      </x:c>
      <x:c r="L8" s="111"/>
      <x:c r="M8" s="111"/>
      <x:c r="N8" s="111"/>
      <x:c r="O8" s="111"/>
      <x:c r="P8" s="111"/>
      <x:c r="Q8" s="113" t="n">
        <x:f t="shared" ref="Q8:AV8" si="1">SUM(Q9:Q49)</x:f>
        <x:v>622</x:v>
      </x:c>
      <x:c r="R8" s="113">
        <x:f t="shared" si="1"/>
        <x:v>355</x:v>
      </x:c>
      <x:c r="S8" s="113">
        <x:f t="shared" si="1"/>
        <x:v>85</x:v>
      </x:c>
      <x:c r="T8" s="113">
        <x:f t="shared" si="1"/>
        <x:v>20</x:v>
      </x:c>
      <x:c r="U8" s="113">
        <x:f t="shared" si="1"/>
        <x:v>66</x:v>
      </x:c>
      <x:c r="V8" s="114">
        <x:f t="shared" si="1"/>
        <x:v>1148</x:v>
      </x:c>
      <x:c r="W8" s="113">
        <x:f t="shared" si="1"/>
        <x:v>631</x:v>
      </x:c>
      <x:c r="X8" s="113">
        <x:f t="shared" si="1"/>
        <x:v>355</x:v>
      </x:c>
      <x:c r="Y8" s="113">
        <x:f t="shared" si="1"/>
        <x:v>85</x:v>
      </x:c>
      <x:c r="Z8" s="113">
        <x:f t="shared" si="1"/>
        <x:v>20</x:v>
      </x:c>
      <x:c r="AA8" s="113">
        <x:f t="shared" si="1"/>
        <x:v>66</x:v>
      </x:c>
      <x:c r="AB8" s="114">
        <x:f t="shared" si="1"/>
        <x:v>1157</x:v>
      </x:c>
      <x:c r="AC8" s="113">
        <x:f t="shared" si="1"/>
        <x:v>631</x:v>
      </x:c>
      <x:c r="AD8" s="113">
        <x:f t="shared" si="1"/>
        <x:v>355</x:v>
      </x:c>
      <x:c r="AE8" s="113">
        <x:f t="shared" si="1"/>
        <x:v>85</x:v>
      </x:c>
      <x:c r="AF8" s="113">
        <x:f t="shared" si="1"/>
        <x:v>20</x:v>
      </x:c>
      <x:c r="AG8" s="113">
        <x:f t="shared" si="1"/>
        <x:v>66</x:v>
      </x:c>
      <x:c r="AH8" s="114">
        <x:f t="shared" si="1"/>
        <x:v>1157</x:v>
      </x:c>
      <x:c r="AI8" s="113">
        <x:f t="shared" si="1"/>
        <x:v>631</x:v>
      </x:c>
      <x:c r="AJ8" s="113">
        <x:f t="shared" si="1"/>
        <x:v>355</x:v>
      </x:c>
      <x:c r="AK8" s="113">
        <x:f t="shared" si="1"/>
        <x:v>85</x:v>
      </x:c>
      <x:c r="AL8" s="113">
        <x:f t="shared" si="1"/>
        <x:v>20</x:v>
      </x:c>
      <x:c r="AM8" s="113">
        <x:f t="shared" si="1"/>
        <x:v>66</x:v>
      </x:c>
      <x:c r="AN8" s="114">
        <x:f t="shared" si="1"/>
        <x:v>1157</x:v>
      </x:c>
      <x:c r="AO8" s="113">
        <x:f t="shared" si="1"/>
        <x:v>631</x:v>
      </x:c>
      <x:c r="AP8" s="113">
        <x:f t="shared" si="1"/>
        <x:v>355</x:v>
      </x:c>
      <x:c r="AQ8" s="113">
        <x:f t="shared" si="1"/>
        <x:v>85</x:v>
      </x:c>
      <x:c r="AR8" s="113">
        <x:f t="shared" si="1"/>
        <x:v>20</x:v>
      </x:c>
      <x:c r="AS8" s="113">
        <x:f t="shared" si="1"/>
        <x:v>66</x:v>
      </x:c>
      <x:c r="AT8" s="114">
        <x:f t="shared" si="1"/>
        <x:v>1157</x:v>
      </x:c>
      <x:c r="AU8" s="113">
        <x:f t="shared" si="1"/>
        <x:v>603</x:v>
      </x:c>
      <x:c r="AV8" s="113">
        <x:f t="shared" si="1"/>
        <x:v>355</x:v>
      </x:c>
      <x:c r="AW8" s="113" t="n">
        <x:f t="shared" ref="AW8:CB8" si="2">SUM(AW9:AW49)</x:f>
        <x:v>85</x:v>
      </x:c>
      <x:c r="AX8" s="113">
        <x:f t="shared" si="2"/>
        <x:v>20</x:v>
      </x:c>
      <x:c r="AY8" s="113">
        <x:f t="shared" si="2"/>
        <x:v>66</x:v>
      </x:c>
      <x:c r="AZ8" s="114">
        <x:f t="shared" si="2"/>
        <x:v>1129</x:v>
      </x:c>
      <x:c r="BA8" s="113">
        <x:f t="shared" si="2"/>
        <x:v>603</x:v>
      </x:c>
      <x:c r="BB8" s="113">
        <x:f t="shared" si="2"/>
        <x:v>355</x:v>
      </x:c>
      <x:c r="BC8" s="113">
        <x:f t="shared" si="2"/>
        <x:v>85</x:v>
      </x:c>
      <x:c r="BD8" s="113">
        <x:f t="shared" si="2"/>
        <x:v>20</x:v>
      </x:c>
      <x:c r="BE8" s="113">
        <x:f t="shared" si="2"/>
        <x:v>66</x:v>
      </x:c>
      <x:c r="BF8" s="114">
        <x:f t="shared" si="2"/>
        <x:v>1129</x:v>
      </x:c>
      <x:c r="BG8" s="113">
        <x:f t="shared" si="2"/>
        <x:v>589</x:v>
      </x:c>
      <x:c r="BH8" s="113">
        <x:f t="shared" si="2"/>
        <x:v>355</x:v>
      </x:c>
      <x:c r="BI8" s="113">
        <x:f t="shared" si="2"/>
        <x:v>85</x:v>
      </x:c>
      <x:c r="BJ8" s="113">
        <x:f t="shared" si="2"/>
        <x:v>20</x:v>
      </x:c>
      <x:c r="BK8" s="113">
        <x:f t="shared" si="2"/>
        <x:v>66</x:v>
      </x:c>
      <x:c r="BL8" s="114">
        <x:f t="shared" si="2"/>
        <x:v>1115</x:v>
      </x:c>
      <x:c r="BM8" s="113">
        <x:f t="shared" si="2"/>
        <x:v>563</x:v>
      </x:c>
      <x:c r="BN8" s="113">
        <x:f t="shared" si="2"/>
        <x:v>355</x:v>
      </x:c>
      <x:c r="BO8" s="113">
        <x:f t="shared" si="2"/>
        <x:v>85</x:v>
      </x:c>
      <x:c r="BP8" s="113">
        <x:f t="shared" si="2"/>
        <x:v>20</x:v>
      </x:c>
      <x:c r="BQ8" s="113">
        <x:f t="shared" si="2"/>
        <x:v>66</x:v>
      </x:c>
      <x:c r="BR8" s="114">
        <x:f t="shared" si="2"/>
        <x:v>1089</x:v>
      </x:c>
      <x:c r="BS8" s="113">
        <x:f t="shared" si="2"/>
        <x:v>540</x:v>
      </x:c>
      <x:c r="BT8" s="113">
        <x:f t="shared" si="2"/>
        <x:v>333</x:v>
      </x:c>
      <x:c r="BU8" s="113">
        <x:f t="shared" si="2"/>
        <x:v>85</x:v>
      </x:c>
      <x:c r="BV8" s="113">
        <x:f t="shared" si="2"/>
        <x:v>20</x:v>
      </x:c>
      <x:c r="BW8" s="113">
        <x:f t="shared" si="2"/>
        <x:v>66</x:v>
      </x:c>
      <x:c r="BX8" s="114">
        <x:f t="shared" si="2"/>
        <x:v>1044</x:v>
      </x:c>
      <x:c r="BY8" s="113">
        <x:f t="shared" si="2"/>
        <x:v>414</x:v>
      </x:c>
      <x:c r="BZ8" s="113">
        <x:f t="shared" si="2"/>
        <x:v>232</x:v>
      </x:c>
      <x:c r="CA8" s="113">
        <x:f t="shared" si="2"/>
        <x:v>37</x:v>
      </x:c>
      <x:c r="CB8" s="113">
        <x:f t="shared" si="2"/>
        <x:v>0</x:v>
      </x:c>
      <x:c r="CC8" s="113" t="n">
        <x:f t="shared" ref="CC8:DH8" si="3">SUM(CC9:CC49)</x:f>
        <x:v>66</x:v>
      </x:c>
      <x:c r="CD8" s="114">
        <x:f t="shared" si="3"/>
        <x:v>749</x:v>
      </x:c>
      <x:c r="CE8" s="113">
        <x:f t="shared" si="3"/>
        <x:v>369</x:v>
      </x:c>
      <x:c r="CF8" s="113">
        <x:f t="shared" si="3"/>
        <x:v>208</x:v>
      </x:c>
      <x:c r="CG8" s="113">
        <x:f t="shared" si="3"/>
        <x:v>37</x:v>
      </x:c>
      <x:c r="CH8" s="113">
        <x:f t="shared" si="3"/>
        <x:v>0</x:v>
      </x:c>
      <x:c r="CI8" s="113">
        <x:f t="shared" si="3"/>
        <x:v>66</x:v>
      </x:c>
      <x:c r="CJ8" s="114">
        <x:f t="shared" si="3"/>
        <x:v>680</x:v>
      </x:c>
      <x:c r="CK8" s="113">
        <x:f t="shared" si="3"/>
        <x:v>268</x:v>
      </x:c>
      <x:c r="CL8" s="113">
        <x:f t="shared" si="3"/>
        <x:v>144</x:v>
      </x:c>
      <x:c r="CM8" s="113">
        <x:f t="shared" si="3"/>
        <x:v>19</x:v>
      </x:c>
      <x:c r="CN8" s="113">
        <x:f t="shared" si="3"/>
        <x:v>0</x:v>
      </x:c>
      <x:c r="CO8" s="113">
        <x:f t="shared" si="3"/>
        <x:v>66</x:v>
      </x:c>
      <x:c r="CP8" s="114">
        <x:f t="shared" si="3"/>
        <x:v>497</x:v>
      </x:c>
      <x:c r="CQ8" s="113">
        <x:f t="shared" si="3"/>
        <x:v>156</x:v>
      </x:c>
      <x:c r="CR8" s="113">
        <x:f t="shared" si="3"/>
        <x:v>74</x:v>
      </x:c>
      <x:c r="CS8" s="113">
        <x:f t="shared" si="3"/>
        <x:v>19</x:v>
      </x:c>
      <x:c r="CT8" s="113">
        <x:f t="shared" si="3"/>
        <x:v>0</x:v>
      </x:c>
      <x:c r="CU8" s="113">
        <x:f t="shared" si="3"/>
        <x:v>32</x:v>
      </x:c>
      <x:c r="CV8" s="114">
        <x:f t="shared" si="3"/>
        <x:v>281</x:v>
      </x:c>
      <x:c r="CW8" s="113">
        <x:f t="shared" si="3"/>
        <x:v>99</x:v>
      </x:c>
      <x:c r="CX8" s="113">
        <x:f t="shared" si="3"/>
        <x:v>63</x:v>
      </x:c>
      <x:c r="CY8" s="113">
        <x:f t="shared" si="3"/>
        <x:v>19</x:v>
      </x:c>
      <x:c r="CZ8" s="113">
        <x:f t="shared" si="3"/>
        <x:v>0</x:v>
      </x:c>
      <x:c r="DA8" s="113">
        <x:f t="shared" si="3"/>
        <x:v>32</x:v>
      </x:c>
      <x:c r="DB8" s="114">
        <x:f t="shared" si="3"/>
        <x:v>213</x:v>
      </x:c>
      <x:c r="DC8" s="113">
        <x:f t="shared" si="3"/>
        <x:v>44</x:v>
      </x:c>
      <x:c r="DD8" s="113">
        <x:f t="shared" si="3"/>
        <x:v>42</x:v>
      </x:c>
      <x:c r="DE8" s="113">
        <x:f t="shared" si="3"/>
        <x:v>19</x:v>
      </x:c>
      <x:c r="DF8" s="113">
        <x:f t="shared" si="3"/>
        <x:v>0</x:v>
      </x:c>
      <x:c r="DG8" s="113">
        <x:f t="shared" si="3"/>
        <x:v>21</x:v>
      </x:c>
      <x:c r="DH8" s="114">
        <x:f t="shared" si="3"/>
        <x:v>126</x:v>
      </x:c>
      <x:c r="DI8" s="113" t="n">
        <x:f t="shared" ref="DI8:EF8" si="4">SUM(DI9:DI49)</x:f>
        <x:v>23</x:v>
      </x:c>
      <x:c r="DJ8" s="113">
        <x:f t="shared" si="4"/>
        <x:v>22</x:v>
      </x:c>
      <x:c r="DK8" s="113">
        <x:f t="shared" si="4"/>
        <x:v>19</x:v>
      </x:c>
      <x:c r="DL8" s="113">
        <x:f t="shared" si="4"/>
        <x:v>0</x:v>
      </x:c>
      <x:c r="DM8" s="113">
        <x:f t="shared" si="4"/>
        <x:v>21</x:v>
      </x:c>
      <x:c r="DN8" s="114">
        <x:f t="shared" si="4"/>
        <x:v>85</x:v>
      </x:c>
      <x:c r="DO8" s="113">
        <x:f t="shared" si="4"/>
        <x:v>23</x:v>
      </x:c>
      <x:c r="DP8" s="113">
        <x:f t="shared" si="4"/>
        <x:v>22</x:v>
      </x:c>
      <x:c r="DQ8" s="113">
        <x:f t="shared" si="4"/>
        <x:v>19</x:v>
      </x:c>
      <x:c r="DR8" s="113">
        <x:f t="shared" si="4"/>
        <x:v>0</x:v>
      </x:c>
      <x:c r="DS8" s="113">
        <x:f t="shared" si="4"/>
        <x:v>21</x:v>
      </x:c>
      <x:c r="DT8" s="114">
        <x:f t="shared" si="4"/>
        <x:v>85</x:v>
      </x:c>
      <x:c r="DU8" s="113">
        <x:f t="shared" si="4"/>
        <x:v>23</x:v>
      </x:c>
      <x:c r="DV8" s="113">
        <x:f t="shared" si="4"/>
        <x:v>22</x:v>
      </x:c>
      <x:c r="DW8" s="113">
        <x:f t="shared" si="4"/>
        <x:v>19</x:v>
      </x:c>
      <x:c r="DX8" s="113">
        <x:f t="shared" si="4"/>
        <x:v>0</x:v>
      </x:c>
      <x:c r="DY8" s="113">
        <x:f t="shared" si="4"/>
        <x:v>21</x:v>
      </x:c>
      <x:c r="DZ8" s="114">
        <x:f t="shared" si="4"/>
        <x:v>85</x:v>
      </x:c>
      <x:c r="EA8" s="113">
        <x:f t="shared" si="4"/>
        <x:v>23</x:v>
      </x:c>
      <x:c r="EB8" s="113">
        <x:f t="shared" si="4"/>
        <x:v>22</x:v>
      </x:c>
      <x:c r="EC8" s="113">
        <x:f t="shared" si="4"/>
        <x:v>19</x:v>
      </x:c>
      <x:c r="ED8" s="113">
        <x:f t="shared" si="4"/>
        <x:v>0</x:v>
      </x:c>
      <x:c r="EE8" s="113">
        <x:f t="shared" si="4"/>
        <x:v>21</x:v>
      </x:c>
      <x:c r="EF8" s="114">
        <x:f t="shared" si="4"/>
        <x:v>85</x:v>
      </x:c>
      <x:c r="EG8" s="117" t="n">
        <x:f>SUM(EG9:EG49)</x:f>
        <x:v>14168</x:v>
      </x:c>
      <x:c r="EH8" s="111"/>
      <x:c r="EI8" s="111"/>
      <x:c r="EJ8" s="82"/>
    </x:row>
    <x:row r="9" s="72" customFormat="1" ht="54.75" customHeight="1">
      <x:c r="A9" s="76">
        <x:v>1</x:v>
      </x:c>
      <x:c r="B9" s="143" t="s">
        <x:v>23</x:v>
      </x:c>
      <x:c r="C9" s="73" t="s">
        <x:v>24</x:v>
      </x:c>
      <x:c r="D9" s="73" t="s">
        <x:v>25</x:v>
      </x:c>
      <x:c r="E9" s="73" t="s">
        <x:v>26</x:v>
      </x:c>
      <x:c r="F9" s="119" t="n">
        <x:f t="shared" ref="F9:F49" si="5">SUM(G9:K9)</x:f>
        <x:v>45</x:v>
      </x:c>
      <x:c r="G9" s="138">
        <x:v>16</x:v>
      </x:c>
      <x:c r="H9" s="136">
        <x:v>15</x:v>
      </x:c>
      <x:c r="I9" s="136">
        <x:v>14</x:v>
      </x:c>
      <x:c r="J9" s="136"/>
      <x:c r="K9" s="136"/>
      <x:c r="L9" s="74">
        <x:v>0.4861111111111111</x:v>
      </x:c>
      <x:c r="M9" s="73" t="s">
        <x:v>27</x:v>
      </x:c>
      <x:c r="N9" s="73"/>
      <x:c r="O9" s="75" t="s">
        <x:v>28</x:v>
      </x:c>
      <x:c r="P9" s="85" t="s">
        <x:v>29</x:v>
      </x:c>
      <x:c r="Q9" s="138">
        <x:v>16</x:v>
      </x:c>
      <x:c r="R9" s="136">
        <x:v>15</x:v>
      </x:c>
      <x:c r="S9" s="136">
        <x:v>14</x:v>
      </x:c>
      <x:c r="T9" s="136"/>
      <x:c r="U9" s="136"/>
      <x:c r="V9" s="123" t="n">
        <x:f>SUM(Q9:U9)</x:f>
        <x:v>45</x:v>
      </x:c>
      <x:c r="W9" s="138">
        <x:v>16</x:v>
      </x:c>
      <x:c r="X9" s="136">
        <x:v>15</x:v>
      </x:c>
      <x:c r="Y9" s="136">
        <x:v>14</x:v>
      </x:c>
      <x:c r="Z9" s="136"/>
      <x:c r="AA9" s="136"/>
      <x:c r="AB9" s="123" t="n">
        <x:f>SUM(W9:AA9)</x:f>
        <x:v>45</x:v>
      </x:c>
      <x:c r="AC9" s="138">
        <x:v>16</x:v>
      </x:c>
      <x:c r="AD9" s="136">
        <x:v>15</x:v>
      </x:c>
      <x:c r="AE9" s="136">
        <x:v>14</x:v>
      </x:c>
      <x:c r="AF9" s="136"/>
      <x:c r="AG9" s="136"/>
      <x:c r="AH9" s="123" t="n">
        <x:f>SUM(AC9:AG9)</x:f>
        <x:v>45</x:v>
      </x:c>
      <x:c r="AI9" s="138">
        <x:v>16</x:v>
      </x:c>
      <x:c r="AJ9" s="136">
        <x:v>15</x:v>
      </x:c>
      <x:c r="AK9" s="136">
        <x:v>14</x:v>
      </x:c>
      <x:c r="AL9" s="136"/>
      <x:c r="AM9" s="136"/>
      <x:c r="AN9" s="123" t="n">
        <x:f>SUM(AI9:AM9)</x:f>
        <x:v>45</x:v>
      </x:c>
      <x:c r="AO9" s="138">
        <x:v>16</x:v>
      </x:c>
      <x:c r="AP9" s="136">
        <x:v>15</x:v>
      </x:c>
      <x:c r="AQ9" s="136">
        <x:v>14</x:v>
      </x:c>
      <x:c r="AR9" s="136"/>
      <x:c r="AS9" s="136"/>
      <x:c r="AT9" s="123" t="n">
        <x:f>SUM(AO9:AS9)</x:f>
        <x:v>45</x:v>
      </x:c>
      <x:c r="AU9" s="138">
        <x:v>16</x:v>
      </x:c>
      <x:c r="AV9" s="136">
        <x:v>15</x:v>
      </x:c>
      <x:c r="AW9" s="136">
        <x:v>14</x:v>
      </x:c>
      <x:c r="AX9" s="136"/>
      <x:c r="AY9" s="136"/>
      <x:c r="AZ9" s="123" t="n">
        <x:f>SUM(AU9:AY9)</x:f>
        <x:v>45</x:v>
      </x:c>
      <x:c r="BA9" s="138">
        <x:v>16</x:v>
      </x:c>
      <x:c r="BB9" s="136">
        <x:v>15</x:v>
      </x:c>
      <x:c r="BC9" s="136">
        <x:v>14</x:v>
      </x:c>
      <x:c r="BD9" s="136"/>
      <x:c r="BE9" s="136"/>
      <x:c r="BF9" s="123" t="n">
        <x:f>SUM(BA9:BE9)</x:f>
        <x:v>45</x:v>
      </x:c>
      <x:c r="BG9" s="138">
        <x:v>16</x:v>
      </x:c>
      <x:c r="BH9" s="136">
        <x:v>15</x:v>
      </x:c>
      <x:c r="BI9" s="136">
        <x:v>14</x:v>
      </x:c>
      <x:c r="BJ9" s="136"/>
      <x:c r="BK9" s="136"/>
      <x:c r="BL9" s="123" t="n">
        <x:f>SUM(BG9:BK9)</x:f>
        <x:v>45</x:v>
      </x:c>
      <x:c r="BM9" s="138">
        <x:v>16</x:v>
      </x:c>
      <x:c r="BN9" s="136">
        <x:v>15</x:v>
      </x:c>
      <x:c r="BO9" s="136">
        <x:v>14</x:v>
      </x:c>
      <x:c r="BP9" s="136"/>
      <x:c r="BQ9" s="136"/>
      <x:c r="BR9" s="123" t="n">
        <x:f>SUM(BM9:BQ9)</x:f>
        <x:v>45</x:v>
      </x:c>
      <x:c r="BS9" s="138">
        <x:v>16</x:v>
      </x:c>
      <x:c r="BT9" s="136">
        <x:v>15</x:v>
      </x:c>
      <x:c r="BU9" s="136">
        <x:v>14</x:v>
      </x:c>
      <x:c r="BV9" s="136"/>
      <x:c r="BW9" s="136"/>
      <x:c r="BX9" s="123" t="n">
        <x:f>SUM(BS9:BW9)</x:f>
        <x:v>45</x:v>
      </x:c>
      <x:c r="BY9" s="144"/>
      <x:c r="BZ9" s="116"/>
      <x:c r="CA9" s="116"/>
      <x:c r="CB9" s="116"/>
      <x:c r="CC9" s="116"/>
      <x:c r="CD9" s="123" t="n">
        <x:f>SUM(BY9:CC9)</x:f>
        <x:v>0</x:v>
      </x:c>
      <x:c r="CE9" s="144"/>
      <x:c r="CF9" s="116"/>
      <x:c r="CG9" s="116"/>
      <x:c r="CH9" s="116"/>
      <x:c r="CI9" s="116"/>
      <x:c r="CJ9" s="123" t="n">
        <x:f>SUM(CE9:CI9)</x:f>
        <x:v>0</x:v>
      </x:c>
      <x:c r="CK9" s="144"/>
      <x:c r="CL9" s="116"/>
      <x:c r="CM9" s="116"/>
      <x:c r="CN9" s="116"/>
      <x:c r="CO9" s="116"/>
      <x:c r="CP9" s="123" t="n">
        <x:f>SUM(CK9:CO9)</x:f>
        <x:v>0</x:v>
      </x:c>
      <x:c r="CQ9" s="127"/>
      <x:c r="CR9" s="115"/>
      <x:c r="CS9" s="115"/>
      <x:c r="CT9" s="115"/>
      <x:c r="CU9" s="115"/>
      <x:c r="CV9" s="123" t="n">
        <x:f>SUM(CQ9:CU9)</x:f>
        <x:v>0</x:v>
      </x:c>
      <x:c r="CW9" s="127"/>
      <x:c r="CX9" s="115"/>
      <x:c r="CY9" s="115"/>
      <x:c r="CZ9" s="115"/>
      <x:c r="DA9" s="115"/>
      <x:c r="DB9" s="123" t="n">
        <x:f>SUM(CW9:DA9)</x:f>
        <x:v>0</x:v>
      </x:c>
      <x:c r="DC9" s="127"/>
      <x:c r="DD9" s="115"/>
      <x:c r="DE9" s="115"/>
      <x:c r="DF9" s="115"/>
      <x:c r="DG9" s="115"/>
      <x:c r="DH9" s="123" t="n">
        <x:f>SUM(DC9:DG9)</x:f>
        <x:v>0</x:v>
      </x:c>
      <x:c r="DI9" s="127"/>
      <x:c r="DJ9" s="115"/>
      <x:c r="DK9" s="115"/>
      <x:c r="DL9" s="115"/>
      <x:c r="DM9" s="115"/>
      <x:c r="DN9" s="123" t="n">
        <x:f>SUM(DI9:DM9)</x:f>
        <x:v>0</x:v>
      </x:c>
      <x:c r="DO9" s="127"/>
      <x:c r="DP9" s="115"/>
      <x:c r="DQ9" s="115"/>
      <x:c r="DR9" s="115"/>
      <x:c r="DS9" s="115"/>
      <x:c r="DT9" s="123" t="n">
        <x:f>SUM(DO9:DS9)</x:f>
        <x:v>0</x:v>
      </x:c>
      <x:c r="DU9" s="127"/>
      <x:c r="DV9" s="115"/>
      <x:c r="DW9" s="115"/>
      <x:c r="DX9" s="115"/>
      <x:c r="DY9" s="115"/>
      <x:c r="DZ9" s="123" t="n">
        <x:f>SUM(DU9:DY9)</x:f>
        <x:v>0</x:v>
      </x:c>
      <x:c r="EA9" s="144"/>
      <x:c r="EB9" s="116"/>
      <x:c r="EC9" s="116"/>
      <x:c r="ED9" s="116"/>
      <x:c r="EE9" s="116"/>
      <x:c r="EF9" s="123" t="n">
        <x:f>SUM(EA9:EE9)</x:f>
        <x:v>0</x:v>
      </x:c>
      <x:c r="EG9" s="146" t="n">
        <x:f>SUM(V9,AB9,AH9,AN9,AT9,AZ9,BF9,BL9,BR9,BX9,CD9,CJ9,CP9,CV9,DB9,DH9,DN9,DT9,DZ9,EF9)</x:f>
        <x:v>450</x:v>
      </x:c>
      <x:c r="EH9" s="73" t="s">
        <x:v>30</x:v>
      </x:c>
      <x:c r="EI9" s="73" t="s">
        <x:v>31</x:v>
      </x:c>
      <x:c r="EJ9" s="84"/>
    </x:row>
    <x:row r="10" s="72" customFormat="1" ht="54.75" customHeight="1">
      <x:c r="A10" s="76">
        <x:v>2</x:v>
      </x:c>
      <x:c r="B10" s="143" t="s">
        <x:v>32</x:v>
      </x:c>
      <x:c r="C10" s="73" t="s">
        <x:v>33</x:v>
      </x:c>
      <x:c r="D10" s="73" t="s">
        <x:v>34</x:v>
      </x:c>
      <x:c r="E10" s="73" t="s">
        <x:v>34</x:v>
      </x:c>
      <x:c r="F10" s="119">
        <x:f t="shared" si="5"/>
        <x:v>12</x:v>
      </x:c>
      <x:c r="G10" s="138">
        <x:v>12</x:v>
      </x:c>
      <x:c r="H10" s="139"/>
      <x:c r="I10" s="139"/>
      <x:c r="J10" s="139"/>
      <x:c r="K10" s="139"/>
      <x:c r="L10" s="74">
        <x:v>0.50694444444444442</x:v>
      </x:c>
      <x:c r="M10" s="73" t="s">
        <x:v>35</x:v>
      </x:c>
      <x:c r="N10" s="73"/>
      <x:c r="O10" s="75" t="s">
        <x:v>36</x:v>
      </x:c>
      <x:c r="P10" s="85" t="s">
        <x:v>29</x:v>
      </x:c>
      <x:c r="Q10" s="138">
        <x:v>12</x:v>
      </x:c>
      <x:c r="R10" s="139"/>
      <x:c r="S10" s="139"/>
      <x:c r="T10" s="139"/>
      <x:c r="U10" s="139"/>
      <x:c r="V10" s="123" t="n">
        <x:f t="shared" ref="V10:V49" si="6">SUM(Q10:U10)</x:f>
        <x:v>12</x:v>
      </x:c>
      <x:c r="W10" s="138">
        <x:v>12</x:v>
      </x:c>
      <x:c r="X10" s="139"/>
      <x:c r="Y10" s="139"/>
      <x:c r="Z10" s="139"/>
      <x:c r="AA10" s="139"/>
      <x:c r="AB10" s="123" t="n">
        <x:f t="shared" ref="AB10:AB49" si="7">SUM(W10:AA10)</x:f>
        <x:v>12</x:v>
      </x:c>
      <x:c r="AC10" s="138">
        <x:v>12</x:v>
      </x:c>
      <x:c r="AD10" s="139"/>
      <x:c r="AE10" s="139"/>
      <x:c r="AF10" s="139"/>
      <x:c r="AG10" s="139"/>
      <x:c r="AH10" s="123" t="n">
        <x:f t="shared" ref="AH10:AH49" si="8">SUM(AC10:AG10)</x:f>
        <x:v>12</x:v>
      </x:c>
      <x:c r="AI10" s="138">
        <x:v>12</x:v>
      </x:c>
      <x:c r="AJ10" s="139"/>
      <x:c r="AK10" s="139"/>
      <x:c r="AL10" s="139"/>
      <x:c r="AM10" s="139"/>
      <x:c r="AN10" s="123" t="n">
        <x:f t="shared" ref="AN10:AN49" si="9">SUM(AI10:AM10)</x:f>
        <x:v>12</x:v>
      </x:c>
      <x:c r="AO10" s="138">
        <x:v>12</x:v>
      </x:c>
      <x:c r="AP10" s="139"/>
      <x:c r="AQ10" s="139"/>
      <x:c r="AR10" s="139"/>
      <x:c r="AS10" s="139"/>
      <x:c r="AT10" s="123" t="n">
        <x:f t="shared" ref="AT10:AT49" si="10">SUM(AO10:AS10)</x:f>
        <x:v>12</x:v>
      </x:c>
      <x:c r="AU10" s="144"/>
      <x:c r="AV10" s="116"/>
      <x:c r="AW10" s="116"/>
      <x:c r="AX10" s="116"/>
      <x:c r="AY10" s="116"/>
      <x:c r="AZ10" s="123" t="n">
        <x:f t="shared" ref="AZ10:AZ49" si="11">SUM(AU10:AY10)</x:f>
        <x:v>0</x:v>
      </x:c>
      <x:c r="BA10" s="144"/>
      <x:c r="BB10" s="116"/>
      <x:c r="BC10" s="116"/>
      <x:c r="BD10" s="116"/>
      <x:c r="BE10" s="116"/>
      <x:c r="BF10" s="123" t="n">
        <x:f t="shared" ref="BF10:BF49" si="12">SUM(BA10:BE10)</x:f>
        <x:v>0</x:v>
      </x:c>
      <x:c r="BG10" s="144"/>
      <x:c r="BH10" s="116"/>
      <x:c r="BI10" s="116"/>
      <x:c r="BJ10" s="116"/>
      <x:c r="BK10" s="116"/>
      <x:c r="BL10" s="123" t="n">
        <x:f t="shared" ref="BL10:BL49" si="13">SUM(BG10:BK10)</x:f>
        <x:v>0</x:v>
      </x:c>
      <x:c r="BM10" s="144"/>
      <x:c r="BN10" s="116"/>
      <x:c r="BO10" s="116"/>
      <x:c r="BP10" s="116"/>
      <x:c r="BQ10" s="116"/>
      <x:c r="BR10" s="123" t="n">
        <x:f t="shared" ref="BR10:BR49" si="14">SUM(BM10:BQ10)</x:f>
        <x:v>0</x:v>
      </x:c>
      <x:c r="BS10" s="144"/>
      <x:c r="BT10" s="116"/>
      <x:c r="BU10" s="116"/>
      <x:c r="BV10" s="116"/>
      <x:c r="BW10" s="116"/>
      <x:c r="BX10" s="123" t="n">
        <x:f t="shared" ref="BX10:BX49" si="15">SUM(BS10:BW10)</x:f>
        <x:v>0</x:v>
      </x:c>
      <x:c r="BY10" s="127"/>
      <x:c r="BZ10" s="115"/>
      <x:c r="CA10" s="115"/>
      <x:c r="CB10" s="115"/>
      <x:c r="CC10" s="115"/>
      <x:c r="CD10" s="123" t="n">
        <x:f t="shared" ref="CD10:CD49" si="16">SUM(BY10:CC10)</x:f>
        <x:v>0</x:v>
      </x:c>
      <x:c r="CE10" s="127"/>
      <x:c r="CF10" s="115"/>
      <x:c r="CG10" s="115"/>
      <x:c r="CH10" s="115"/>
      <x:c r="CI10" s="115"/>
      <x:c r="CJ10" s="123" t="n">
        <x:f t="shared" ref="CJ10:CJ49" si="17">SUM(CE10:CI10)</x:f>
        <x:v>0</x:v>
      </x:c>
      <x:c r="CK10" s="127"/>
      <x:c r="CL10" s="115"/>
      <x:c r="CM10" s="115"/>
      <x:c r="CN10" s="115"/>
      <x:c r="CO10" s="115"/>
      <x:c r="CP10" s="123" t="n">
        <x:f t="shared" ref="CP10:CP49" si="18">SUM(CK10:CO10)</x:f>
        <x:v>0</x:v>
      </x:c>
      <x:c r="CQ10" s="127"/>
      <x:c r="CR10" s="115"/>
      <x:c r="CS10" s="115"/>
      <x:c r="CT10" s="115"/>
      <x:c r="CU10" s="115"/>
      <x:c r="CV10" s="123" t="n">
        <x:f t="shared" ref="CV10:CV49" si="19">SUM(CQ10:CU10)</x:f>
        <x:v>0</x:v>
      </x:c>
      <x:c r="CW10" s="127"/>
      <x:c r="CX10" s="115"/>
      <x:c r="CY10" s="115"/>
      <x:c r="CZ10" s="115"/>
      <x:c r="DA10" s="115"/>
      <x:c r="DB10" s="123" t="n">
        <x:f t="shared" ref="DB10:DB49" si="20">SUM(CW10:DA10)</x:f>
        <x:v>0</x:v>
      </x:c>
      <x:c r="DC10" s="127"/>
      <x:c r="DD10" s="115"/>
      <x:c r="DE10" s="115"/>
      <x:c r="DF10" s="115"/>
      <x:c r="DG10" s="115"/>
      <x:c r="DH10" s="123" t="n">
        <x:f t="shared" ref="DH10:DH49" si="21">SUM(DC10:DG10)</x:f>
        <x:v>0</x:v>
      </x:c>
      <x:c r="DI10" s="127"/>
      <x:c r="DJ10" s="115"/>
      <x:c r="DK10" s="115"/>
      <x:c r="DL10" s="115"/>
      <x:c r="DM10" s="115"/>
      <x:c r="DN10" s="123" t="n">
        <x:f t="shared" ref="DN10:DN49" si="22">SUM(DI10:DM10)</x:f>
        <x:v>0</x:v>
      </x:c>
      <x:c r="DO10" s="144"/>
      <x:c r="DP10" s="116"/>
      <x:c r="DQ10" s="116"/>
      <x:c r="DR10" s="116"/>
      <x:c r="DS10" s="116"/>
      <x:c r="DT10" s="123" t="n">
        <x:f t="shared" ref="DT10:DT49" si="23">SUM(DO10:DS10)</x:f>
        <x:v>0</x:v>
      </x:c>
      <x:c r="DU10" s="144"/>
      <x:c r="DV10" s="116"/>
      <x:c r="DW10" s="116"/>
      <x:c r="DX10" s="116"/>
      <x:c r="DY10" s="116"/>
      <x:c r="DZ10" s="123" t="n">
        <x:f t="shared" ref="DZ10:DZ49" si="24">SUM(DU10:DY10)</x:f>
        <x:v>0</x:v>
      </x:c>
      <x:c r="EA10" s="144"/>
      <x:c r="EB10" s="116"/>
      <x:c r="EC10" s="116"/>
      <x:c r="ED10" s="116"/>
      <x:c r="EE10" s="116"/>
      <x:c r="EF10" s="123" t="n">
        <x:f t="shared" ref="EF10:EF49" si="25">SUM(EA10:EE10)</x:f>
        <x:v>0</x:v>
      </x:c>
      <x:c r="EG10" s="146" t="n">
        <x:f t="shared" ref="EG10:EG49" si="26">SUM(V10,AB10,AH10,AN10,AT10,AZ10,BF10,BL10,BR10,BX10,CD10,CJ10,CP10,CV10,DB10,DH10,DN10,DT10,DZ10,EF10)</x:f>
        <x:v>60</x:v>
      </x:c>
      <x:c r="EH10" s="73" t="s">
        <x:v>37</x:v>
      </x:c>
      <x:c r="EI10" s="73" t="s">
        <x:v>38</x:v>
      </x:c>
      <x:c r="EJ10" s="83"/>
    </x:row>
    <x:row r="11" s="72" customFormat="1" ht="54.75" customHeight="1">
      <x:c r="A11" s="76">
        <x:v>3</x:v>
      </x:c>
      <x:c r="B11" s="143" t="s">
        <x:v>39</x:v>
      </x:c>
      <x:c r="C11" s="73" t="s">
        <x:v>40</x:v>
      </x:c>
      <x:c r="D11" s="73" t="s">
        <x:v>41</x:v>
      </x:c>
      <x:c r="E11" s="73" t="s">
        <x:v>41</x:v>
      </x:c>
      <x:c r="F11" s="119">
        <x:f t="shared" si="5"/>
        <x:v>27</x:v>
      </x:c>
      <x:c r="G11" s="138">
        <x:v>14</x:v>
      </x:c>
      <x:c r="H11" s="139">
        <x:v>13</x:v>
      </x:c>
      <x:c r="I11" s="139"/>
      <x:c r="J11" s="139"/>
      <x:c r="K11" s="139"/>
      <x:c r="L11" s="74">
        <x:v>0.50694444444444442</x:v>
      </x:c>
      <x:c r="M11" s="73" t="s">
        <x:v>42</x:v>
      </x:c>
      <x:c r="N11" s="73" t="s">
        <x:v>43</x:v>
      </x:c>
      <x:c r="O11" s="75" t="s">
        <x:v>44</x:v>
      </x:c>
      <x:c r="P11" s="85" t="s">
        <x:v>29</x:v>
      </x:c>
      <x:c r="Q11" s="138">
        <x:v>14</x:v>
      </x:c>
      <x:c r="R11" s="139">
        <x:v>13</x:v>
      </x:c>
      <x:c r="S11" s="139"/>
      <x:c r="T11" s="139"/>
      <x:c r="U11" s="139"/>
      <x:c r="V11" s="123">
        <x:f t="shared" si="6"/>
        <x:v>27</x:v>
      </x:c>
      <x:c r="W11" s="138">
        <x:v>14</x:v>
      </x:c>
      <x:c r="X11" s="139">
        <x:v>13</x:v>
      </x:c>
      <x:c r="Y11" s="139"/>
      <x:c r="Z11" s="139"/>
      <x:c r="AA11" s="139"/>
      <x:c r="AB11" s="123">
        <x:f t="shared" si="7"/>
        <x:v>27</x:v>
      </x:c>
      <x:c r="AC11" s="138">
        <x:v>14</x:v>
      </x:c>
      <x:c r="AD11" s="139">
        <x:v>13</x:v>
      </x:c>
      <x:c r="AE11" s="139"/>
      <x:c r="AF11" s="139"/>
      <x:c r="AG11" s="139"/>
      <x:c r="AH11" s="123">
        <x:f t="shared" si="8"/>
        <x:v>27</x:v>
      </x:c>
      <x:c r="AI11" s="138">
        <x:v>14</x:v>
      </x:c>
      <x:c r="AJ11" s="139">
        <x:v>13</x:v>
      </x:c>
      <x:c r="AK11" s="139"/>
      <x:c r="AL11" s="139"/>
      <x:c r="AM11" s="139"/>
      <x:c r="AN11" s="123">
        <x:f t="shared" si="9"/>
        <x:v>27</x:v>
      </x:c>
      <x:c r="AO11" s="138">
        <x:v>14</x:v>
      </x:c>
      <x:c r="AP11" s="139">
        <x:v>13</x:v>
      </x:c>
      <x:c r="AQ11" s="139"/>
      <x:c r="AR11" s="139"/>
      <x:c r="AS11" s="139"/>
      <x:c r="AT11" s="123">
        <x:f t="shared" si="10"/>
        <x:v>27</x:v>
      </x:c>
      <x:c r="AU11" s="138">
        <x:v>14</x:v>
      </x:c>
      <x:c r="AV11" s="139">
        <x:v>13</x:v>
      </x:c>
      <x:c r="AW11" s="139"/>
      <x:c r="AX11" s="139"/>
      <x:c r="AY11" s="139"/>
      <x:c r="AZ11" s="123">
        <x:f t="shared" si="11"/>
        <x:v>27</x:v>
      </x:c>
      <x:c r="BA11" s="138">
        <x:v>14</x:v>
      </x:c>
      <x:c r="BB11" s="139">
        <x:v>13</x:v>
      </x:c>
      <x:c r="BC11" s="139"/>
      <x:c r="BD11" s="139"/>
      <x:c r="BE11" s="139"/>
      <x:c r="BF11" s="123">
        <x:f t="shared" si="12"/>
        <x:v>27</x:v>
      </x:c>
      <x:c r="BG11" s="138">
        <x:v>14</x:v>
      </x:c>
      <x:c r="BH11" s="139">
        <x:v>13</x:v>
      </x:c>
      <x:c r="BI11" s="139"/>
      <x:c r="BJ11" s="139"/>
      <x:c r="BK11" s="139"/>
      <x:c r="BL11" s="123">
        <x:f t="shared" si="13"/>
        <x:v>27</x:v>
      </x:c>
      <x:c r="BM11" s="138">
        <x:v>14</x:v>
      </x:c>
      <x:c r="BN11" s="139">
        <x:v>13</x:v>
      </x:c>
      <x:c r="BO11" s="139"/>
      <x:c r="BP11" s="139"/>
      <x:c r="BQ11" s="139"/>
      <x:c r="BR11" s="123">
        <x:f t="shared" si="14"/>
        <x:v>27</x:v>
      </x:c>
      <x:c r="BS11" s="138">
        <x:v>14</x:v>
      </x:c>
      <x:c r="BT11" s="139">
        <x:v>13</x:v>
      </x:c>
      <x:c r="BU11" s="139"/>
      <x:c r="BV11" s="139"/>
      <x:c r="BW11" s="139"/>
      <x:c r="BX11" s="123">
        <x:f t="shared" si="15"/>
        <x:v>27</x:v>
      </x:c>
      <x:c r="BY11" s="144"/>
      <x:c r="BZ11" s="116"/>
      <x:c r="CA11" s="116"/>
      <x:c r="CB11" s="116"/>
      <x:c r="CC11" s="116"/>
      <x:c r="CD11" s="123">
        <x:f t="shared" si="16"/>
        <x:v>0</x:v>
      </x:c>
      <x:c r="CE11" s="144"/>
      <x:c r="CF11" s="116"/>
      <x:c r="CG11" s="116"/>
      <x:c r="CH11" s="116"/>
      <x:c r="CI11" s="116"/>
      <x:c r="CJ11" s="123">
        <x:f t="shared" si="17"/>
        <x:v>0</x:v>
      </x:c>
      <x:c r="CK11" s="144"/>
      <x:c r="CL11" s="116"/>
      <x:c r="CM11" s="116"/>
      <x:c r="CN11" s="116"/>
      <x:c r="CO11" s="116"/>
      <x:c r="CP11" s="123">
        <x:f t="shared" si="18"/>
        <x:v>0</x:v>
      </x:c>
      <x:c r="CQ11" s="144"/>
      <x:c r="CR11" s="116"/>
      <x:c r="CS11" s="116"/>
      <x:c r="CT11" s="116"/>
      <x:c r="CU11" s="116"/>
      <x:c r="CV11" s="123">
        <x:f t="shared" si="19"/>
        <x:v>0</x:v>
      </x:c>
      <x:c r="CW11" s="144"/>
      <x:c r="CX11" s="116"/>
      <x:c r="CY11" s="116"/>
      <x:c r="CZ11" s="116"/>
      <x:c r="DA11" s="116"/>
      <x:c r="DB11" s="123">
        <x:f t="shared" si="20"/>
        <x:v>0</x:v>
      </x:c>
      <x:c r="DC11" s="144"/>
      <x:c r="DD11" s="116"/>
      <x:c r="DE11" s="116"/>
      <x:c r="DF11" s="116"/>
      <x:c r="DG11" s="116"/>
      <x:c r="DH11" s="123">
        <x:f t="shared" si="21"/>
        <x:v>0</x:v>
      </x:c>
      <x:c r="DI11" s="144"/>
      <x:c r="DJ11" s="116"/>
      <x:c r="DK11" s="116"/>
      <x:c r="DL11" s="116"/>
      <x:c r="DM11" s="116"/>
      <x:c r="DN11" s="123">
        <x:f t="shared" si="22"/>
        <x:v>0</x:v>
      </x:c>
      <x:c r="DO11" s="144"/>
      <x:c r="DP11" s="116"/>
      <x:c r="DQ11" s="116"/>
      <x:c r="DR11" s="116"/>
      <x:c r="DS11" s="116"/>
      <x:c r="DT11" s="123">
        <x:f t="shared" si="23"/>
        <x:v>0</x:v>
      </x:c>
      <x:c r="DU11" s="144"/>
      <x:c r="DV11" s="116"/>
      <x:c r="DW11" s="116"/>
      <x:c r="DX11" s="116"/>
      <x:c r="DY11" s="116"/>
      <x:c r="DZ11" s="123">
        <x:f t="shared" si="24"/>
        <x:v>0</x:v>
      </x:c>
      <x:c r="EA11" s="144"/>
      <x:c r="EB11" s="116"/>
      <x:c r="EC11" s="116"/>
      <x:c r="ED11" s="116"/>
      <x:c r="EE11" s="116"/>
      <x:c r="EF11" s="123">
        <x:f t="shared" si="25"/>
        <x:v>0</x:v>
      </x:c>
      <x:c r="EG11" s="146">
        <x:f t="shared" si="26"/>
        <x:v>270</x:v>
      </x:c>
      <x:c r="EH11" s="73" t="s">
        <x:v>45</x:v>
      </x:c>
      <x:c r="EI11" s="73" t="s">
        <x:v>46</x:v>
      </x:c>
      <x:c r="EJ11" s="86"/>
    </x:row>
    <x:row r="12" s="72" customFormat="1" ht="54.75" customHeight="1">
      <x:c r="A12" s="76">
        <x:v>4</x:v>
      </x:c>
      <x:c r="B12" s="143" t="s">
        <x:v>47</x:v>
      </x:c>
      <x:c r="C12" s="73" t="s">
        <x:v>48</x:v>
      </x:c>
      <x:c r="D12" s="73" t="s">
        <x:v>49</x:v>
      </x:c>
      <x:c r="E12" s="73" t="s">
        <x:v>50</x:v>
      </x:c>
      <x:c r="F12" s="119">
        <x:f t="shared" si="5"/>
        <x:v>19</x:v>
      </x:c>
      <x:c r="G12" s="138">
        <x:v>19</x:v>
      </x:c>
      <x:c r="H12" s="139"/>
      <x:c r="I12" s="139"/>
      <x:c r="J12" s="139"/>
      <x:c r="K12" s="139"/>
      <x:c r="L12" s="74">
        <x:v>0.49305555555555558</x:v>
      </x:c>
      <x:c r="M12" s="73" t="s">
        <x:v>51</x:v>
      </x:c>
      <x:c r="N12" s="73"/>
      <x:c r="O12" s="75" t="s">
        <x:v>52</x:v>
      </x:c>
      <x:c r="P12" s="85" t="s">
        <x:v>29</x:v>
      </x:c>
      <x:c r="Q12" s="138">
        <x:v>19</x:v>
      </x:c>
      <x:c r="R12" s="139"/>
      <x:c r="S12" s="139"/>
      <x:c r="T12" s="139"/>
      <x:c r="U12" s="139"/>
      <x:c r="V12" s="123">
        <x:f t="shared" si="6"/>
        <x:v>19</x:v>
      </x:c>
      <x:c r="W12" s="138">
        <x:v>19</x:v>
      </x:c>
      <x:c r="X12" s="139"/>
      <x:c r="Y12" s="139"/>
      <x:c r="Z12" s="139"/>
      <x:c r="AA12" s="139"/>
      <x:c r="AB12" s="123">
        <x:f t="shared" si="7"/>
        <x:v>19</x:v>
      </x:c>
      <x:c r="AC12" s="138">
        <x:v>19</x:v>
      </x:c>
      <x:c r="AD12" s="139"/>
      <x:c r="AE12" s="139"/>
      <x:c r="AF12" s="139"/>
      <x:c r="AG12" s="139"/>
      <x:c r="AH12" s="123">
        <x:f t="shared" si="8"/>
        <x:v>19</x:v>
      </x:c>
      <x:c r="AI12" s="138">
        <x:v>19</x:v>
      </x:c>
      <x:c r="AJ12" s="139"/>
      <x:c r="AK12" s="139"/>
      <x:c r="AL12" s="139"/>
      <x:c r="AM12" s="139"/>
      <x:c r="AN12" s="123">
        <x:f t="shared" si="9"/>
        <x:v>19</x:v>
      </x:c>
      <x:c r="AO12" s="138">
        <x:v>19</x:v>
      </x:c>
      <x:c r="AP12" s="139"/>
      <x:c r="AQ12" s="139"/>
      <x:c r="AR12" s="139"/>
      <x:c r="AS12" s="139"/>
      <x:c r="AT12" s="123">
        <x:f t="shared" si="10"/>
        <x:v>19</x:v>
      </x:c>
      <x:c r="AU12" s="138">
        <x:v>19</x:v>
      </x:c>
      <x:c r="AV12" s="139"/>
      <x:c r="AW12" s="139"/>
      <x:c r="AX12" s="139"/>
      <x:c r="AY12" s="139"/>
      <x:c r="AZ12" s="123">
        <x:f t="shared" si="11"/>
        <x:v>19</x:v>
      </x:c>
      <x:c r="BA12" s="138">
        <x:v>19</x:v>
      </x:c>
      <x:c r="BB12" s="139"/>
      <x:c r="BC12" s="139"/>
      <x:c r="BD12" s="139"/>
      <x:c r="BE12" s="139"/>
      <x:c r="BF12" s="123">
        <x:f t="shared" si="12"/>
        <x:v>19</x:v>
      </x:c>
      <x:c r="BG12" s="138">
        <x:v>19</x:v>
      </x:c>
      <x:c r="BH12" s="139"/>
      <x:c r="BI12" s="139"/>
      <x:c r="BJ12" s="139"/>
      <x:c r="BK12" s="139"/>
      <x:c r="BL12" s="123">
        <x:f t="shared" si="13"/>
        <x:v>19</x:v>
      </x:c>
      <x:c r="BM12" s="138">
        <x:v>19</x:v>
      </x:c>
      <x:c r="BN12" s="139"/>
      <x:c r="BO12" s="139"/>
      <x:c r="BP12" s="139"/>
      <x:c r="BQ12" s="139"/>
      <x:c r="BR12" s="123">
        <x:f t="shared" si="14"/>
        <x:v>19</x:v>
      </x:c>
      <x:c r="BS12" s="138">
        <x:v>19</x:v>
      </x:c>
      <x:c r="BT12" s="139"/>
      <x:c r="BU12" s="139"/>
      <x:c r="BV12" s="139"/>
      <x:c r="BW12" s="139"/>
      <x:c r="BX12" s="123">
        <x:f t="shared" si="15"/>
        <x:v>19</x:v>
      </x:c>
      <x:c r="BY12" s="138">
        <x:v>19</x:v>
      </x:c>
      <x:c r="BZ12" s="139"/>
      <x:c r="CA12" s="139"/>
      <x:c r="CB12" s="139"/>
      <x:c r="CC12" s="139"/>
      <x:c r="CD12" s="123">
        <x:f t="shared" si="16"/>
        <x:v>19</x:v>
      </x:c>
      <x:c r="CE12" s="127"/>
      <x:c r="CF12" s="115"/>
      <x:c r="CG12" s="115"/>
      <x:c r="CH12" s="115"/>
      <x:c r="CI12" s="115"/>
      <x:c r="CJ12" s="123">
        <x:f t="shared" si="17"/>
        <x:v>0</x:v>
      </x:c>
      <x:c r="CK12" s="127"/>
      <x:c r="CL12" s="115"/>
      <x:c r="CM12" s="115"/>
      <x:c r="CN12" s="115"/>
      <x:c r="CO12" s="115"/>
      <x:c r="CP12" s="123">
        <x:f t="shared" si="18"/>
        <x:v>0</x:v>
      </x:c>
      <x:c r="CQ12" s="127"/>
      <x:c r="CR12" s="115"/>
      <x:c r="CS12" s="115"/>
      <x:c r="CT12" s="115"/>
      <x:c r="CU12" s="115"/>
      <x:c r="CV12" s="123">
        <x:f t="shared" si="19"/>
        <x:v>0</x:v>
      </x:c>
      <x:c r="CW12" s="127"/>
      <x:c r="CX12" s="115"/>
      <x:c r="CY12" s="115"/>
      <x:c r="CZ12" s="115"/>
      <x:c r="DA12" s="115"/>
      <x:c r="DB12" s="123">
        <x:f t="shared" si="20"/>
        <x:v>0</x:v>
      </x:c>
      <x:c r="DC12" s="127"/>
      <x:c r="DD12" s="115"/>
      <x:c r="DE12" s="115"/>
      <x:c r="DF12" s="115"/>
      <x:c r="DG12" s="115"/>
      <x:c r="DH12" s="123">
        <x:f t="shared" si="21"/>
        <x:v>0</x:v>
      </x:c>
      <x:c r="DI12" s="127"/>
      <x:c r="DJ12" s="115"/>
      <x:c r="DK12" s="115"/>
      <x:c r="DL12" s="115"/>
      <x:c r="DM12" s="115"/>
      <x:c r="DN12" s="123">
        <x:f t="shared" si="22"/>
        <x:v>0</x:v>
      </x:c>
      <x:c r="DO12" s="127"/>
      <x:c r="DP12" s="115"/>
      <x:c r="DQ12" s="115"/>
      <x:c r="DR12" s="115"/>
      <x:c r="DS12" s="115"/>
      <x:c r="DT12" s="123">
        <x:f t="shared" si="23"/>
        <x:v>0</x:v>
      </x:c>
      <x:c r="DU12" s="144"/>
      <x:c r="DV12" s="116"/>
      <x:c r="DW12" s="116"/>
      <x:c r="DX12" s="116"/>
      <x:c r="DY12" s="116"/>
      <x:c r="DZ12" s="123">
        <x:f t="shared" si="24"/>
        <x:v>0</x:v>
      </x:c>
      <x:c r="EA12" s="144"/>
      <x:c r="EB12" s="116"/>
      <x:c r="EC12" s="116"/>
      <x:c r="ED12" s="116"/>
      <x:c r="EE12" s="116"/>
      <x:c r="EF12" s="123">
        <x:f t="shared" si="25"/>
        <x:v>0</x:v>
      </x:c>
      <x:c r="EG12" s="146">
        <x:f t="shared" si="26"/>
        <x:v>209</x:v>
      </x:c>
      <x:c r="EH12" s="73" t="s">
        <x:v>37</x:v>
      </x:c>
      <x:c r="EI12" s="73" t="s">
        <x:v>53</x:v>
      </x:c>
      <x:c r="EJ12" s="84"/>
    </x:row>
    <x:row r="13" s="72" customFormat="1" ht="54.75" customHeight="1">
      <x:c r="A13" s="223">
        <x:v>5</x:v>
      </x:c>
      <x:c r="B13" s="224" t="s">
        <x:v>54</x:v>
      </x:c>
      <x:c r="C13" s="225" t="s">
        <x:v>55</x:v>
      </x:c>
      <x:c r="D13" s="225" t="s">
        <x:v>56</x:v>
      </x:c>
      <x:c r="E13" s="225" t="s">
        <x:v>57</x:v>
      </x:c>
      <x:c r="F13" s="226">
        <x:f t="shared" si="5"/>
        <x:v>16</x:v>
      </x:c>
      <x:c r="G13" s="227">
        <x:v>16</x:v>
      </x:c>
      <x:c r="H13" s="228"/>
      <x:c r="I13" s="228"/>
      <x:c r="J13" s="228"/>
      <x:c r="K13" s="228"/>
      <x:c r="L13" s="229">
        <x:v>0.46527777777777779</x:v>
      </x:c>
      <x:c r="M13" s="225" t="s">
        <x:v>58</x:v>
      </x:c>
      <x:c r="N13" s="225"/>
      <x:c r="O13" s="230" t="s">
        <x:v>59</x:v>
      </x:c>
      <x:c r="P13" s="231" t="s">
        <x:v>60</x:v>
      </x:c>
      <x:c r="Q13" s="227">
        <x:v>16</x:v>
      </x:c>
      <x:c r="R13" s="228"/>
      <x:c r="S13" s="228"/>
      <x:c r="T13" s="228"/>
      <x:c r="U13" s="228"/>
      <x:c r="V13" s="234">
        <x:f t="shared" si="6"/>
        <x:v>16</x:v>
      </x:c>
      <x:c r="W13" s="227">
        <x:v>16</x:v>
      </x:c>
      <x:c r="X13" s="228"/>
      <x:c r="Y13" s="228"/>
      <x:c r="Z13" s="228"/>
      <x:c r="AA13" s="228"/>
      <x:c r="AB13" s="234">
        <x:f t="shared" si="7"/>
        <x:v>16</x:v>
      </x:c>
      <x:c r="AC13" s="227">
        <x:v>16</x:v>
      </x:c>
      <x:c r="AD13" s="228"/>
      <x:c r="AE13" s="228"/>
      <x:c r="AF13" s="228"/>
      <x:c r="AG13" s="228"/>
      <x:c r="AH13" s="234">
        <x:f t="shared" si="8"/>
        <x:v>16</x:v>
      </x:c>
      <x:c r="AI13" s="227">
        <x:v>16</x:v>
      </x:c>
      <x:c r="AJ13" s="228"/>
      <x:c r="AK13" s="228"/>
      <x:c r="AL13" s="228"/>
      <x:c r="AM13" s="228"/>
      <x:c r="AN13" s="234">
        <x:f t="shared" si="9"/>
        <x:v>16</x:v>
      </x:c>
      <x:c r="AO13" s="227">
        <x:v>16</x:v>
      </x:c>
      <x:c r="AP13" s="228"/>
      <x:c r="AQ13" s="228"/>
      <x:c r="AR13" s="228"/>
      <x:c r="AS13" s="228"/>
      <x:c r="AT13" s="234">
        <x:f t="shared" si="10"/>
        <x:v>16</x:v>
      </x:c>
      <x:c r="AU13" s="237"/>
      <x:c r="AV13" s="233"/>
      <x:c r="AW13" s="233"/>
      <x:c r="AX13" s="233"/>
      <x:c r="AY13" s="233"/>
      <x:c r="AZ13" s="234">
        <x:f t="shared" si="11"/>
        <x:v>0</x:v>
      </x:c>
      <x:c r="BA13" s="237"/>
      <x:c r="BB13" s="233"/>
      <x:c r="BC13" s="233"/>
      <x:c r="BD13" s="233"/>
      <x:c r="BE13" s="233"/>
      <x:c r="BF13" s="234">
        <x:f t="shared" si="12"/>
        <x:v>0</x:v>
      </x:c>
      <x:c r="BG13" s="237"/>
      <x:c r="BH13" s="233"/>
      <x:c r="BI13" s="233"/>
      <x:c r="BJ13" s="233"/>
      <x:c r="BK13" s="233"/>
      <x:c r="BL13" s="234">
        <x:f t="shared" si="13"/>
        <x:v>0</x:v>
      </x:c>
      <x:c r="BM13" s="237"/>
      <x:c r="BN13" s="233"/>
      <x:c r="BO13" s="233"/>
      <x:c r="BP13" s="233"/>
      <x:c r="BQ13" s="233"/>
      <x:c r="BR13" s="234">
        <x:f t="shared" si="14"/>
        <x:v>0</x:v>
      </x:c>
      <x:c r="BS13" s="237"/>
      <x:c r="BT13" s="233"/>
      <x:c r="BU13" s="233"/>
      <x:c r="BV13" s="233"/>
      <x:c r="BW13" s="233"/>
      <x:c r="BX13" s="234">
        <x:f t="shared" si="15"/>
        <x:v>0</x:v>
      </x:c>
      <x:c r="BY13" s="238"/>
      <x:c r="BZ13" s="239"/>
      <x:c r="CA13" s="239"/>
      <x:c r="CB13" s="239"/>
      <x:c r="CC13" s="239"/>
      <x:c r="CD13" s="234">
        <x:f t="shared" si="16"/>
        <x:v>0</x:v>
      </x:c>
      <x:c r="CE13" s="238"/>
      <x:c r="CF13" s="239"/>
      <x:c r="CG13" s="239"/>
      <x:c r="CH13" s="239"/>
      <x:c r="CI13" s="239"/>
      <x:c r="CJ13" s="234">
        <x:f t="shared" si="17"/>
        <x:v>0</x:v>
      </x:c>
      <x:c r="CK13" s="238"/>
      <x:c r="CL13" s="239"/>
      <x:c r="CM13" s="239"/>
      <x:c r="CN13" s="239"/>
      <x:c r="CO13" s="239"/>
      <x:c r="CP13" s="234">
        <x:f t="shared" si="18"/>
        <x:v>0</x:v>
      </x:c>
      <x:c r="CQ13" s="238"/>
      <x:c r="CR13" s="239"/>
      <x:c r="CS13" s="239"/>
      <x:c r="CT13" s="239"/>
      <x:c r="CU13" s="239"/>
      <x:c r="CV13" s="234">
        <x:f t="shared" si="19"/>
        <x:v>0</x:v>
      </x:c>
      <x:c r="CW13" s="238"/>
      <x:c r="CX13" s="239"/>
      <x:c r="CY13" s="239"/>
      <x:c r="CZ13" s="239"/>
      <x:c r="DA13" s="239"/>
      <x:c r="DB13" s="234">
        <x:f t="shared" si="20"/>
        <x:v>0</x:v>
      </x:c>
      <x:c r="DC13" s="238"/>
      <x:c r="DD13" s="239"/>
      <x:c r="DE13" s="239"/>
      <x:c r="DF13" s="239"/>
      <x:c r="DG13" s="239"/>
      <x:c r="DH13" s="234">
        <x:f t="shared" si="21"/>
        <x:v>0</x:v>
      </x:c>
      <x:c r="DI13" s="238"/>
      <x:c r="DJ13" s="239"/>
      <x:c r="DK13" s="239"/>
      <x:c r="DL13" s="239"/>
      <x:c r="DM13" s="239"/>
      <x:c r="DN13" s="234">
        <x:f t="shared" si="22"/>
        <x:v>0</x:v>
      </x:c>
      <x:c r="DO13" s="238"/>
      <x:c r="DP13" s="239"/>
      <x:c r="DQ13" s="239"/>
      <x:c r="DR13" s="239"/>
      <x:c r="DS13" s="239"/>
      <x:c r="DT13" s="234">
        <x:f t="shared" si="23"/>
        <x:v>0</x:v>
      </x:c>
      <x:c r="DU13" s="238"/>
      <x:c r="DV13" s="239"/>
      <x:c r="DW13" s="239"/>
      <x:c r="DX13" s="239"/>
      <x:c r="DY13" s="239"/>
      <x:c r="DZ13" s="234">
        <x:f t="shared" si="24"/>
        <x:v>0</x:v>
      </x:c>
      <x:c r="EA13" s="238"/>
      <x:c r="EB13" s="239"/>
      <x:c r="EC13" s="239"/>
      <x:c r="ED13" s="239"/>
      <x:c r="EE13" s="239"/>
      <x:c r="EF13" s="234">
        <x:f t="shared" si="25"/>
        <x:v>0</x:v>
      </x:c>
      <x:c r="EG13" s="235">
        <x:f t="shared" si="26"/>
        <x:v>80</x:v>
      </x:c>
      <x:c r="EH13" s="225" t="s">
        <x:v>37</x:v>
      </x:c>
      <x:c r="EI13" s="225" t="s">
        <x:v>61</x:v>
      </x:c>
      <x:c r="EJ13" s="236"/>
    </x:row>
    <x:row r="14" s="72" customFormat="1" ht="54.75" customHeight="1">
      <x:c r="A14" s="76">
        <x:v>6</x:v>
      </x:c>
      <x:c r="B14" s="143" t="s">
        <x:v>62</x:v>
      </x:c>
      <x:c r="C14" s="73" t="s">
        <x:v>63</x:v>
      </x:c>
      <x:c r="D14" s="73" t="s">
        <x:v>64</x:v>
      </x:c>
      <x:c r="E14" s="73" t="s">
        <x:v>65</x:v>
      </x:c>
      <x:c r="F14" s="119">
        <x:f t="shared" si="5"/>
        <x:v>49</x:v>
      </x:c>
      <x:c r="G14" s="138">
        <x:v>18</x:v>
      </x:c>
      <x:c r="H14" s="139">
        <x:v>17</x:v>
      </x:c>
      <x:c r="I14" s="139"/>
      <x:c r="J14" s="139"/>
      <x:c r="K14" s="139">
        <x:v>14</x:v>
      </x:c>
      <x:c r="L14" s="74">
        <x:v>0.47916666666666669</x:v>
      </x:c>
      <x:c r="M14" s="73" t="s">
        <x:v>66</x:v>
      </x:c>
      <x:c r="N14" s="73" t="s">
        <x:v>43</x:v>
      </x:c>
      <x:c r="O14" s="75" t="s">
        <x:v>67</x:v>
      </x:c>
      <x:c r="P14" s="85" t="s">
        <x:v>29</x:v>
      </x:c>
      <x:c r="Q14" s="138">
        <x:v>18</x:v>
      </x:c>
      <x:c r="R14" s="139">
        <x:v>17</x:v>
      </x:c>
      <x:c r="S14" s="139"/>
      <x:c r="T14" s="139"/>
      <x:c r="U14" s="139">
        <x:v>14</x:v>
      </x:c>
      <x:c r="V14" s="123">
        <x:f t="shared" si="6"/>
        <x:v>49</x:v>
      </x:c>
      <x:c r="W14" s="138">
        <x:v>18</x:v>
      </x:c>
      <x:c r="X14" s="139">
        <x:v>17</x:v>
      </x:c>
      <x:c r="Y14" s="139"/>
      <x:c r="Z14" s="139"/>
      <x:c r="AA14" s="139">
        <x:v>14</x:v>
      </x:c>
      <x:c r="AB14" s="123">
        <x:f t="shared" si="7"/>
        <x:v>49</x:v>
      </x:c>
      <x:c r="AC14" s="138">
        <x:v>18</x:v>
      </x:c>
      <x:c r="AD14" s="139">
        <x:v>17</x:v>
      </x:c>
      <x:c r="AE14" s="139"/>
      <x:c r="AF14" s="139"/>
      <x:c r="AG14" s="139">
        <x:v>14</x:v>
      </x:c>
      <x:c r="AH14" s="123">
        <x:f t="shared" si="8"/>
        <x:v>49</x:v>
      </x:c>
      <x:c r="AI14" s="138">
        <x:v>18</x:v>
      </x:c>
      <x:c r="AJ14" s="139">
        <x:v>17</x:v>
      </x:c>
      <x:c r="AK14" s="139"/>
      <x:c r="AL14" s="139"/>
      <x:c r="AM14" s="139">
        <x:v>14</x:v>
      </x:c>
      <x:c r="AN14" s="123">
        <x:f t="shared" si="9"/>
        <x:v>49</x:v>
      </x:c>
      <x:c r="AO14" s="138">
        <x:v>18</x:v>
      </x:c>
      <x:c r="AP14" s="139">
        <x:v>17</x:v>
      </x:c>
      <x:c r="AQ14" s="139"/>
      <x:c r="AR14" s="139"/>
      <x:c r="AS14" s="139">
        <x:v>14</x:v>
      </x:c>
      <x:c r="AT14" s="123">
        <x:f t="shared" si="10"/>
        <x:v>49</x:v>
      </x:c>
      <x:c r="AU14" s="138">
        <x:v>18</x:v>
      </x:c>
      <x:c r="AV14" s="139">
        <x:v>17</x:v>
      </x:c>
      <x:c r="AW14" s="139"/>
      <x:c r="AX14" s="139"/>
      <x:c r="AY14" s="139">
        <x:v>14</x:v>
      </x:c>
      <x:c r="AZ14" s="123">
        <x:f t="shared" si="11"/>
        <x:v>49</x:v>
      </x:c>
      <x:c r="BA14" s="138">
        <x:v>18</x:v>
      </x:c>
      <x:c r="BB14" s="139">
        <x:v>17</x:v>
      </x:c>
      <x:c r="BC14" s="139"/>
      <x:c r="BD14" s="139"/>
      <x:c r="BE14" s="139">
        <x:v>14</x:v>
      </x:c>
      <x:c r="BF14" s="123">
        <x:f t="shared" si="12"/>
        <x:v>49</x:v>
      </x:c>
      <x:c r="BG14" s="138">
        <x:v>18</x:v>
      </x:c>
      <x:c r="BH14" s="139">
        <x:v>17</x:v>
      </x:c>
      <x:c r="BI14" s="139"/>
      <x:c r="BJ14" s="139"/>
      <x:c r="BK14" s="139">
        <x:v>14</x:v>
      </x:c>
      <x:c r="BL14" s="123">
        <x:f t="shared" si="13"/>
        <x:v>49</x:v>
      </x:c>
      <x:c r="BM14" s="138">
        <x:v>18</x:v>
      </x:c>
      <x:c r="BN14" s="139">
        <x:v>17</x:v>
      </x:c>
      <x:c r="BO14" s="139"/>
      <x:c r="BP14" s="139"/>
      <x:c r="BQ14" s="139">
        <x:v>14</x:v>
      </x:c>
      <x:c r="BR14" s="123">
        <x:f t="shared" si="14"/>
        <x:v>49</x:v>
      </x:c>
      <x:c r="BS14" s="138">
        <x:v>18</x:v>
      </x:c>
      <x:c r="BT14" s="139">
        <x:v>17</x:v>
      </x:c>
      <x:c r="BU14" s="139"/>
      <x:c r="BV14" s="139"/>
      <x:c r="BW14" s="139">
        <x:v>14</x:v>
      </x:c>
      <x:c r="BX14" s="123">
        <x:f t="shared" si="15"/>
        <x:v>49</x:v>
      </x:c>
      <x:c r="BY14" s="138">
        <x:v>18</x:v>
      </x:c>
      <x:c r="BZ14" s="139">
        <x:v>17</x:v>
      </x:c>
      <x:c r="CA14" s="139"/>
      <x:c r="CB14" s="139"/>
      <x:c r="CC14" s="139">
        <x:v>14</x:v>
      </x:c>
      <x:c r="CD14" s="123">
        <x:f t="shared" si="16"/>
        <x:v>49</x:v>
      </x:c>
      <x:c r="CE14" s="138">
        <x:v>18</x:v>
      </x:c>
      <x:c r="CF14" s="139">
        <x:v>17</x:v>
      </x:c>
      <x:c r="CG14" s="139"/>
      <x:c r="CH14" s="139"/>
      <x:c r="CI14" s="139">
        <x:v>14</x:v>
      </x:c>
      <x:c r="CJ14" s="123">
        <x:f t="shared" si="17"/>
        <x:v>49</x:v>
      </x:c>
      <x:c r="CK14" s="138">
        <x:v>18</x:v>
      </x:c>
      <x:c r="CL14" s="139">
        <x:v>17</x:v>
      </x:c>
      <x:c r="CM14" s="139"/>
      <x:c r="CN14" s="139"/>
      <x:c r="CO14" s="139">
        <x:v>14</x:v>
      </x:c>
      <x:c r="CP14" s="123">
        <x:f t="shared" si="18"/>
        <x:v>49</x:v>
      </x:c>
      <x:c r="CQ14" s="127"/>
      <x:c r="CR14" s="115"/>
      <x:c r="CS14" s="115"/>
      <x:c r="CT14" s="115"/>
      <x:c r="CU14" s="115"/>
      <x:c r="CV14" s="123">
        <x:f t="shared" si="19"/>
        <x:v>0</x:v>
      </x:c>
      <x:c r="CW14" s="127"/>
      <x:c r="CX14" s="115"/>
      <x:c r="CY14" s="115"/>
      <x:c r="CZ14" s="115"/>
      <x:c r="DA14" s="115"/>
      <x:c r="DB14" s="123">
        <x:f t="shared" si="20"/>
        <x:v>0</x:v>
      </x:c>
      <x:c r="DC14" s="127"/>
      <x:c r="DD14" s="115"/>
      <x:c r="DE14" s="115"/>
      <x:c r="DF14" s="115"/>
      <x:c r="DG14" s="115"/>
      <x:c r="DH14" s="123">
        <x:f t="shared" si="21"/>
        <x:v>0</x:v>
      </x:c>
      <x:c r="DI14" s="127"/>
      <x:c r="DJ14" s="115"/>
      <x:c r="DK14" s="115"/>
      <x:c r="DL14" s="115"/>
      <x:c r="DM14" s="115"/>
      <x:c r="DN14" s="123">
        <x:f t="shared" si="22"/>
        <x:v>0</x:v>
      </x:c>
      <x:c r="DO14" s="127"/>
      <x:c r="DP14" s="115"/>
      <x:c r="DQ14" s="115"/>
      <x:c r="DR14" s="115"/>
      <x:c r="DS14" s="115"/>
      <x:c r="DT14" s="123">
        <x:f t="shared" si="23"/>
        <x:v>0</x:v>
      </x:c>
      <x:c r="DU14" s="127"/>
      <x:c r="DV14" s="115"/>
      <x:c r="DW14" s="115"/>
      <x:c r="DX14" s="115"/>
      <x:c r="DY14" s="115"/>
      <x:c r="DZ14" s="123">
        <x:f t="shared" si="24"/>
        <x:v>0</x:v>
      </x:c>
      <x:c r="EA14" s="127"/>
      <x:c r="EB14" s="115"/>
      <x:c r="EC14" s="115"/>
      <x:c r="ED14" s="115"/>
      <x:c r="EE14" s="115"/>
      <x:c r="EF14" s="123">
        <x:f t="shared" si="25"/>
        <x:v>0</x:v>
      </x:c>
      <x:c r="EG14" s="146">
        <x:f t="shared" si="26"/>
        <x:v>637</x:v>
      </x:c>
      <x:c r="EH14" s="73" t="s">
        <x:v>45</x:v>
      </x:c>
      <x:c r="EI14" s="73" t="s">
        <x:v>68</x:v>
      </x:c>
      <x:c r="EJ14" s="84"/>
    </x:row>
    <x:row r="15" s="72" customFormat="1" ht="54.75" customHeight="1">
      <x:c r="A15" s="180" t="s">
        <x:v>314</x:v>
      </x:c>
      <x:c r="B15" s="112" t="s">
        <x:v>231</x:v>
      </x:c>
      <x:c r="C15" s="155" t="s">
        <x:v>232</x:v>
      </x:c>
      <x:c r="D15" s="155" t="s">
        <x:v>233</x:v>
      </x:c>
      <x:c r="E15" s="155" t="s">
        <x:v>234</x:v>
      </x:c>
      <x:c r="F15" s="156">
        <x:f t="shared" si="5"/>
        <x:v>9</x:v>
      </x:c>
      <x:c r="G15" s="157">
        <x:v>9</x:v>
      </x:c>
      <x:c r="H15" s="158"/>
      <x:c r="I15" s="158"/>
      <x:c r="J15" s="158"/>
      <x:c r="K15" s="158"/>
      <x:c r="L15" s="159">
        <x:v>0.49305555555555558</x:v>
      </x:c>
      <x:c r="M15" s="155" t="s">
        <x:v>237</x:v>
      </x:c>
      <x:c r="N15" s="155"/>
      <x:c r="O15" s="160" t="s">
        <x:v>238</x:v>
      </x:c>
      <x:c r="P15" s="161" t="s">
        <x:v>60</x:v>
      </x:c>
      <x:c r="Q15" s="157">
        <x:v>9</x:v>
      </x:c>
      <x:c r="R15" s="158"/>
      <x:c r="S15" s="158"/>
      <x:c r="T15" s="158"/>
      <x:c r="U15" s="158"/>
      <x:c r="V15" s="164">
        <x:f t="shared" si="6"/>
        <x:v>9</x:v>
      </x:c>
      <x:c r="W15" s="157">
        <x:v>9</x:v>
      </x:c>
      <x:c r="X15" s="158"/>
      <x:c r="Y15" s="158"/>
      <x:c r="Z15" s="158"/>
      <x:c r="AA15" s="158"/>
      <x:c r="AB15" s="164">
        <x:f t="shared" si="7"/>
        <x:v>9</x:v>
      </x:c>
      <x:c r="AC15" s="157">
        <x:v>9</x:v>
      </x:c>
      <x:c r="AD15" s="158"/>
      <x:c r="AE15" s="158"/>
      <x:c r="AF15" s="158"/>
      <x:c r="AG15" s="158"/>
      <x:c r="AH15" s="164">
        <x:f t="shared" si="8"/>
        <x:v>9</x:v>
      </x:c>
      <x:c r="AI15" s="157">
        <x:v>9</x:v>
      </x:c>
      <x:c r="AJ15" s="158"/>
      <x:c r="AK15" s="158"/>
      <x:c r="AL15" s="158"/>
      <x:c r="AM15" s="158"/>
      <x:c r="AN15" s="164">
        <x:f t="shared" si="9"/>
        <x:v>9</x:v>
      </x:c>
      <x:c r="AO15" s="157">
        <x:v>9</x:v>
      </x:c>
      <x:c r="AP15" s="158"/>
      <x:c r="AQ15" s="158"/>
      <x:c r="AR15" s="158"/>
      <x:c r="AS15" s="158"/>
      <x:c r="AT15" s="164">
        <x:f t="shared" si="10"/>
        <x:v>9</x:v>
      </x:c>
      <x:c r="AU15" s="157">
        <x:v>9</x:v>
      </x:c>
      <x:c r="AV15" s="158"/>
      <x:c r="AW15" s="158"/>
      <x:c r="AX15" s="158"/>
      <x:c r="AY15" s="158"/>
      <x:c r="AZ15" s="164">
        <x:f t="shared" si="11"/>
        <x:v>9</x:v>
      </x:c>
      <x:c r="BA15" s="157">
        <x:v>9</x:v>
      </x:c>
      <x:c r="BB15" s="158"/>
      <x:c r="BC15" s="158"/>
      <x:c r="BD15" s="158"/>
      <x:c r="BE15" s="158"/>
      <x:c r="BF15" s="164">
        <x:f t="shared" si="12"/>
        <x:v>9</x:v>
      </x:c>
      <x:c r="BG15" s="157">
        <x:v>9</x:v>
      </x:c>
      <x:c r="BH15" s="158"/>
      <x:c r="BI15" s="158"/>
      <x:c r="BJ15" s="158"/>
      <x:c r="BK15" s="158"/>
      <x:c r="BL15" s="164">
        <x:f t="shared" si="13"/>
        <x:v>9</x:v>
      </x:c>
      <x:c r="BM15" s="157">
        <x:v>9</x:v>
      </x:c>
      <x:c r="BN15" s="158"/>
      <x:c r="BO15" s="158"/>
      <x:c r="BP15" s="158"/>
      <x:c r="BQ15" s="158"/>
      <x:c r="BR15" s="164">
        <x:f t="shared" si="14"/>
        <x:v>9</x:v>
      </x:c>
      <x:c r="BS15" s="157">
        <x:v>9</x:v>
      </x:c>
      <x:c r="BT15" s="158"/>
      <x:c r="BU15" s="158"/>
      <x:c r="BV15" s="158"/>
      <x:c r="BW15" s="158"/>
      <x:c r="BX15" s="164">
        <x:f t="shared" si="15"/>
        <x:v>9</x:v>
      </x:c>
      <x:c r="BY15" s="157">
        <x:v>9</x:v>
      </x:c>
      <x:c r="BZ15" s="158"/>
      <x:c r="CA15" s="158"/>
      <x:c r="CB15" s="158"/>
      <x:c r="CC15" s="158"/>
      <x:c r="CD15" s="164">
        <x:f t="shared" si="16"/>
        <x:v>9</x:v>
      </x:c>
      <x:c r="CE15" s="157">
        <x:v>9</x:v>
      </x:c>
      <x:c r="CF15" s="158"/>
      <x:c r="CG15" s="158"/>
      <x:c r="CH15" s="158"/>
      <x:c r="CI15" s="158"/>
      <x:c r="CJ15" s="164">
        <x:f t="shared" si="17"/>
        <x:v>9</x:v>
      </x:c>
      <x:c r="CK15" s="157">
        <x:v>9</x:v>
      </x:c>
      <x:c r="CL15" s="158"/>
      <x:c r="CM15" s="158"/>
      <x:c r="CN15" s="158"/>
      <x:c r="CO15" s="158"/>
      <x:c r="CP15" s="164">
        <x:f t="shared" si="18"/>
        <x:v>9</x:v>
      </x:c>
      <x:c r="CQ15" s="181"/>
      <x:c r="CR15" s="165"/>
      <x:c r="CS15" s="165"/>
      <x:c r="CT15" s="165"/>
      <x:c r="CU15" s="165"/>
      <x:c r="CV15" s="164">
        <x:f t="shared" si="19"/>
        <x:v>0</x:v>
      </x:c>
      <x:c r="CW15" s="181"/>
      <x:c r="CX15" s="165"/>
      <x:c r="CY15" s="165"/>
      <x:c r="CZ15" s="165"/>
      <x:c r="DA15" s="165"/>
      <x:c r="DB15" s="164">
        <x:f t="shared" si="20"/>
        <x:v>0</x:v>
      </x:c>
      <x:c r="DC15" s="181"/>
      <x:c r="DD15" s="165"/>
      <x:c r="DE15" s="165"/>
      <x:c r="DF15" s="165"/>
      <x:c r="DG15" s="165"/>
      <x:c r="DH15" s="164">
        <x:f t="shared" si="21"/>
        <x:v>0</x:v>
      </x:c>
      <x:c r="DI15" s="181"/>
      <x:c r="DJ15" s="165"/>
      <x:c r="DK15" s="165"/>
      <x:c r="DL15" s="165"/>
      <x:c r="DM15" s="165"/>
      <x:c r="DN15" s="164">
        <x:f t="shared" si="22"/>
        <x:v>0</x:v>
      </x:c>
      <x:c r="DO15" s="181"/>
      <x:c r="DP15" s="165"/>
      <x:c r="DQ15" s="165"/>
      <x:c r="DR15" s="165"/>
      <x:c r="DS15" s="165"/>
      <x:c r="DT15" s="164">
        <x:f t="shared" si="23"/>
        <x:v>0</x:v>
      </x:c>
      <x:c r="DU15" s="181"/>
      <x:c r="DV15" s="165"/>
      <x:c r="DW15" s="165"/>
      <x:c r="DX15" s="165"/>
      <x:c r="DY15" s="165"/>
      <x:c r="DZ15" s="164">
        <x:f t="shared" si="24"/>
        <x:v>0</x:v>
      </x:c>
      <x:c r="EA15" s="181"/>
      <x:c r="EB15" s="165"/>
      <x:c r="EC15" s="165"/>
      <x:c r="ED15" s="165"/>
      <x:c r="EE15" s="165"/>
      <x:c r="EF15" s="164">
        <x:f t="shared" si="25"/>
        <x:v>0</x:v>
      </x:c>
      <x:c r="EG15" s="167">
        <x:f t="shared" si="26"/>
        <x:v>117</x:v>
      </x:c>
      <x:c r="EH15" s="168" t="s">
        <x:v>239</x:v>
      </x:c>
      <x:c r="EI15" s="169" t="s">
        <x:v>315</x:v>
      </x:c>
      <x:c r="EJ15" s="170"/>
    </x:row>
    <x:row r="16" s="72" customFormat="1" ht="54.75" customHeight="1">
      <x:c r="A16" s="76">
        <x:v>7</x:v>
      </x:c>
      <x:c r="B16" s="143" t="s">
        <x:v>69</x:v>
      </x:c>
      <x:c r="C16" s="73" t="s">
        <x:v>70</x:v>
      </x:c>
      <x:c r="D16" s="73" t="s">
        <x:v>71</x:v>
      </x:c>
      <x:c r="E16" s="73" t="s">
        <x:v>72</x:v>
      </x:c>
      <x:c r="F16" s="119">
        <x:f t="shared" si="5"/>
        <x:v>23</x:v>
      </x:c>
      <x:c r="G16" s="138">
        <x:v>23</x:v>
      </x:c>
      <x:c r="H16" s="139"/>
      <x:c r="I16" s="139"/>
      <x:c r="J16" s="139"/>
      <x:c r="K16" s="139"/>
      <x:c r="L16" s="74">
        <x:v>0.4861111111111111</x:v>
      </x:c>
      <x:c r="M16" s="73" t="s">
        <x:v>73</x:v>
      </x:c>
      <x:c r="N16" s="73"/>
      <x:c r="O16" s="75" t="s">
        <x:v>74</x:v>
      </x:c>
      <x:c r="P16" s="85" t="s">
        <x:v>29</x:v>
      </x:c>
      <x:c r="Q16" s="138">
        <x:v>23</x:v>
      </x:c>
      <x:c r="R16" s="139"/>
      <x:c r="S16" s="139"/>
      <x:c r="T16" s="139"/>
      <x:c r="U16" s="139"/>
      <x:c r="V16" s="123">
        <x:f t="shared" si="6"/>
        <x:v>23</x:v>
      </x:c>
      <x:c r="W16" s="138">
        <x:v>23</x:v>
      </x:c>
      <x:c r="X16" s="139"/>
      <x:c r="Y16" s="139"/>
      <x:c r="Z16" s="139"/>
      <x:c r="AA16" s="139"/>
      <x:c r="AB16" s="123">
        <x:f t="shared" si="7"/>
        <x:v>23</x:v>
      </x:c>
      <x:c r="AC16" s="138">
        <x:v>23</x:v>
      </x:c>
      <x:c r="AD16" s="139"/>
      <x:c r="AE16" s="139"/>
      <x:c r="AF16" s="139"/>
      <x:c r="AG16" s="139"/>
      <x:c r="AH16" s="123">
        <x:f t="shared" si="8"/>
        <x:v>23</x:v>
      </x:c>
      <x:c r="AI16" s="138">
        <x:v>23</x:v>
      </x:c>
      <x:c r="AJ16" s="139"/>
      <x:c r="AK16" s="139"/>
      <x:c r="AL16" s="139"/>
      <x:c r="AM16" s="139"/>
      <x:c r="AN16" s="123">
        <x:f t="shared" si="9"/>
        <x:v>23</x:v>
      </x:c>
      <x:c r="AO16" s="138">
        <x:v>23</x:v>
      </x:c>
      <x:c r="AP16" s="139"/>
      <x:c r="AQ16" s="139"/>
      <x:c r="AR16" s="139"/>
      <x:c r="AS16" s="139"/>
      <x:c r="AT16" s="123">
        <x:f t="shared" si="10"/>
        <x:v>23</x:v>
      </x:c>
      <x:c r="AU16" s="138">
        <x:v>23</x:v>
      </x:c>
      <x:c r="AV16" s="139"/>
      <x:c r="AW16" s="139"/>
      <x:c r="AX16" s="139"/>
      <x:c r="AY16" s="139"/>
      <x:c r="AZ16" s="123">
        <x:f t="shared" si="11"/>
        <x:v>23</x:v>
      </x:c>
      <x:c r="BA16" s="138">
        <x:v>23</x:v>
      </x:c>
      <x:c r="BB16" s="139"/>
      <x:c r="BC16" s="139"/>
      <x:c r="BD16" s="139"/>
      <x:c r="BE16" s="139"/>
      <x:c r="BF16" s="123">
        <x:f t="shared" si="12"/>
        <x:v>23</x:v>
      </x:c>
      <x:c r="BG16" s="138">
        <x:v>23</x:v>
      </x:c>
      <x:c r="BH16" s="139"/>
      <x:c r="BI16" s="139"/>
      <x:c r="BJ16" s="139"/>
      <x:c r="BK16" s="139"/>
      <x:c r="BL16" s="123">
        <x:f t="shared" si="13"/>
        <x:v>23</x:v>
      </x:c>
      <x:c r="BM16" s="138">
        <x:v>23</x:v>
      </x:c>
      <x:c r="BN16" s="139"/>
      <x:c r="BO16" s="139"/>
      <x:c r="BP16" s="139"/>
      <x:c r="BQ16" s="139"/>
      <x:c r="BR16" s="123">
        <x:f t="shared" si="14"/>
        <x:v>23</x:v>
      </x:c>
      <x:c r="BS16" s="138">
        <x:v>23</x:v>
      </x:c>
      <x:c r="BT16" s="139"/>
      <x:c r="BU16" s="139"/>
      <x:c r="BV16" s="139"/>
      <x:c r="BW16" s="139"/>
      <x:c r="BX16" s="123">
        <x:f t="shared" si="15"/>
        <x:v>23</x:v>
      </x:c>
      <x:c r="BY16" s="138">
        <x:v>23</x:v>
      </x:c>
      <x:c r="BZ16" s="139"/>
      <x:c r="CA16" s="139"/>
      <x:c r="CB16" s="139"/>
      <x:c r="CC16" s="139"/>
      <x:c r="CD16" s="123">
        <x:f t="shared" si="16"/>
        <x:v>23</x:v>
      </x:c>
      <x:c r="CE16" s="138">
        <x:v>23</x:v>
      </x:c>
      <x:c r="CF16" s="139"/>
      <x:c r="CG16" s="139"/>
      <x:c r="CH16" s="139"/>
      <x:c r="CI16" s="139"/>
      <x:c r="CJ16" s="123">
        <x:f t="shared" si="17"/>
        <x:v>23</x:v>
      </x:c>
      <x:c r="CK16" s="138">
        <x:v>23</x:v>
      </x:c>
      <x:c r="CL16" s="139"/>
      <x:c r="CM16" s="139"/>
      <x:c r="CN16" s="139"/>
      <x:c r="CO16" s="139"/>
      <x:c r="CP16" s="123">
        <x:f t="shared" si="18"/>
        <x:v>23</x:v>
      </x:c>
      <x:c r="CQ16" s="138">
        <x:v>23</x:v>
      </x:c>
      <x:c r="CR16" s="139"/>
      <x:c r="CS16" s="139"/>
      <x:c r="CT16" s="139"/>
      <x:c r="CU16" s="139"/>
      <x:c r="CV16" s="123">
        <x:f t="shared" si="19"/>
        <x:v>23</x:v>
      </x:c>
      <x:c r="CW16" s="138">
        <x:v>23</x:v>
      </x:c>
      <x:c r="CX16" s="139"/>
      <x:c r="CY16" s="139"/>
      <x:c r="CZ16" s="139"/>
      <x:c r="DA16" s="139"/>
      <x:c r="DB16" s="123">
        <x:f t="shared" si="20"/>
        <x:v>23</x:v>
      </x:c>
      <x:c r="DC16" s="127"/>
      <x:c r="DD16" s="115"/>
      <x:c r="DE16" s="115"/>
      <x:c r="DF16" s="115"/>
      <x:c r="DG16" s="115"/>
      <x:c r="DH16" s="123">
        <x:f t="shared" si="21"/>
        <x:v>0</x:v>
      </x:c>
      <x:c r="DI16" s="127"/>
      <x:c r="DJ16" s="115"/>
      <x:c r="DK16" s="115"/>
      <x:c r="DL16" s="115"/>
      <x:c r="DM16" s="115"/>
      <x:c r="DN16" s="123">
        <x:f t="shared" si="22"/>
        <x:v>0</x:v>
      </x:c>
      <x:c r="DO16" s="144"/>
      <x:c r="DP16" s="116"/>
      <x:c r="DQ16" s="116"/>
      <x:c r="DR16" s="116"/>
      <x:c r="DS16" s="116"/>
      <x:c r="DT16" s="123">
        <x:f t="shared" si="23"/>
        <x:v>0</x:v>
      </x:c>
      <x:c r="DU16" s="144"/>
      <x:c r="DV16" s="116"/>
      <x:c r="DW16" s="116"/>
      <x:c r="DX16" s="116"/>
      <x:c r="DY16" s="116"/>
      <x:c r="DZ16" s="123">
        <x:f t="shared" si="24"/>
        <x:v>0</x:v>
      </x:c>
      <x:c r="EA16" s="144"/>
      <x:c r="EB16" s="116"/>
      <x:c r="EC16" s="116"/>
      <x:c r="ED16" s="116"/>
      <x:c r="EE16" s="116"/>
      <x:c r="EF16" s="123">
        <x:f t="shared" si="25"/>
        <x:v>0</x:v>
      </x:c>
      <x:c r="EG16" s="146">
        <x:f t="shared" si="26"/>
        <x:v>345</x:v>
      </x:c>
      <x:c r="EH16" s="73" t="s">
        <x:v>37</x:v>
      </x:c>
      <x:c r="EI16" s="73" t="s">
        <x:v>75</x:v>
      </x:c>
      <x:c r="EJ16" s="86"/>
    </x:row>
    <x:row r="17" ht="64.5" customHeight="1">
      <x:c r="A17" s="76">
        <x:v>8</x:v>
      </x:c>
      <x:c r="B17" s="143" t="s">
        <x:v>76</x:v>
      </x:c>
      <x:c r="C17" s="73" t="s">
        <x:v>77</x:v>
      </x:c>
      <x:c r="D17" s="73" t="s">
        <x:v>78</x:v>
      </x:c>
      <x:c r="E17" s="73" t="s">
        <x:v>79</x:v>
      </x:c>
      <x:c r="F17" s="119">
        <x:f t="shared" si="5"/>
        <x:v>28</x:v>
      </x:c>
      <x:c r="G17" s="138">
        <x:v>15</x:v>
      </x:c>
      <x:c r="H17" s="139">
        <x:v>13</x:v>
      </x:c>
      <x:c r="I17" s="139"/>
      <x:c r="J17" s="139"/>
      <x:c r="K17" s="139"/>
      <x:c r="L17" s="74">
        <x:v>0.52083333333333337</x:v>
      </x:c>
      <x:c r="M17" s="73" t="s">
        <x:v>80</x:v>
      </x:c>
      <x:c r="N17" s="73"/>
      <x:c r="O17" s="75" t="s">
        <x:v>67</x:v>
      </x:c>
      <x:c r="P17" s="85" t="s">
        <x:v>29</x:v>
      </x:c>
      <x:c r="Q17" s="138">
        <x:v>15</x:v>
      </x:c>
      <x:c r="R17" s="139">
        <x:v>13</x:v>
      </x:c>
      <x:c r="S17" s="139"/>
      <x:c r="T17" s="139"/>
      <x:c r="U17" s="139"/>
      <x:c r="V17" s="123">
        <x:f t="shared" si="6"/>
        <x:v>28</x:v>
      </x:c>
      <x:c r="W17" s="138">
        <x:v>15</x:v>
      </x:c>
      <x:c r="X17" s="139">
        <x:v>13</x:v>
      </x:c>
      <x:c r="Y17" s="139"/>
      <x:c r="Z17" s="139"/>
      <x:c r="AA17" s="139"/>
      <x:c r="AB17" s="123">
        <x:f t="shared" si="7"/>
        <x:v>28</x:v>
      </x:c>
      <x:c r="AC17" s="138">
        <x:v>15</x:v>
      </x:c>
      <x:c r="AD17" s="139">
        <x:v>13</x:v>
      </x:c>
      <x:c r="AE17" s="139"/>
      <x:c r="AF17" s="139"/>
      <x:c r="AG17" s="139"/>
      <x:c r="AH17" s="123">
        <x:f t="shared" si="8"/>
        <x:v>28</x:v>
      </x:c>
      <x:c r="AI17" s="138">
        <x:v>15</x:v>
      </x:c>
      <x:c r="AJ17" s="139">
        <x:v>13</x:v>
      </x:c>
      <x:c r="AK17" s="139"/>
      <x:c r="AL17" s="139"/>
      <x:c r="AM17" s="139"/>
      <x:c r="AN17" s="123">
        <x:f t="shared" si="9"/>
        <x:v>28</x:v>
      </x:c>
      <x:c r="AO17" s="138">
        <x:v>15</x:v>
      </x:c>
      <x:c r="AP17" s="139">
        <x:v>13</x:v>
      </x:c>
      <x:c r="AQ17" s="139"/>
      <x:c r="AR17" s="139"/>
      <x:c r="AS17" s="139"/>
      <x:c r="AT17" s="123">
        <x:f t="shared" si="10"/>
        <x:v>28</x:v>
      </x:c>
      <x:c r="AU17" s="138">
        <x:v>15</x:v>
      </x:c>
      <x:c r="AV17" s="139">
        <x:v>13</x:v>
      </x:c>
      <x:c r="AW17" s="139"/>
      <x:c r="AX17" s="139"/>
      <x:c r="AY17" s="139"/>
      <x:c r="AZ17" s="123">
        <x:f t="shared" si="11"/>
        <x:v>28</x:v>
      </x:c>
      <x:c r="BA17" s="138">
        <x:v>15</x:v>
      </x:c>
      <x:c r="BB17" s="139">
        <x:v>13</x:v>
      </x:c>
      <x:c r="BC17" s="139"/>
      <x:c r="BD17" s="139"/>
      <x:c r="BE17" s="139"/>
      <x:c r="BF17" s="123">
        <x:f t="shared" si="12"/>
        <x:v>28</x:v>
      </x:c>
      <x:c r="BG17" s="138">
        <x:v>15</x:v>
      </x:c>
      <x:c r="BH17" s="139">
        <x:v>13</x:v>
      </x:c>
      <x:c r="BI17" s="139"/>
      <x:c r="BJ17" s="139"/>
      <x:c r="BK17" s="139"/>
      <x:c r="BL17" s="123">
        <x:f t="shared" si="13"/>
        <x:v>28</x:v>
      </x:c>
      <x:c r="BM17" s="138">
        <x:v>15</x:v>
      </x:c>
      <x:c r="BN17" s="139">
        <x:v>13</x:v>
      </x:c>
      <x:c r="BO17" s="139"/>
      <x:c r="BP17" s="139"/>
      <x:c r="BQ17" s="139"/>
      <x:c r="BR17" s="123">
        <x:f t="shared" si="14"/>
        <x:v>28</x:v>
      </x:c>
      <x:c r="BS17" s="138">
        <x:v>15</x:v>
      </x:c>
      <x:c r="BT17" s="139">
        <x:v>13</x:v>
      </x:c>
      <x:c r="BU17" s="139"/>
      <x:c r="BV17" s="139"/>
      <x:c r="BW17" s="139"/>
      <x:c r="BX17" s="123">
        <x:f t="shared" si="15"/>
        <x:v>28</x:v>
      </x:c>
      <x:c r="BY17" s="138">
        <x:v>15</x:v>
      </x:c>
      <x:c r="BZ17" s="139">
        <x:v>13</x:v>
      </x:c>
      <x:c r="CA17" s="139"/>
      <x:c r="CB17" s="139"/>
      <x:c r="CC17" s="139"/>
      <x:c r="CD17" s="123">
        <x:f t="shared" si="16"/>
        <x:v>28</x:v>
      </x:c>
      <x:c r="CE17" s="138">
        <x:v>15</x:v>
      </x:c>
      <x:c r="CF17" s="139">
        <x:v>13</x:v>
      </x:c>
      <x:c r="CG17" s="139"/>
      <x:c r="CH17" s="139"/>
      <x:c r="CI17" s="139"/>
      <x:c r="CJ17" s="123">
        <x:f t="shared" si="17"/>
        <x:v>28</x:v>
      </x:c>
      <x:c r="CK17" s="144"/>
      <x:c r="CL17" s="116"/>
      <x:c r="CM17" s="116"/>
      <x:c r="CN17" s="116"/>
      <x:c r="CO17" s="116"/>
      <x:c r="CP17" s="123">
        <x:f t="shared" si="18"/>
        <x:v>0</x:v>
      </x:c>
      <x:c r="CQ17" s="144"/>
      <x:c r="CR17" s="116"/>
      <x:c r="CS17" s="116"/>
      <x:c r="CT17" s="116"/>
      <x:c r="CU17" s="116"/>
      <x:c r="CV17" s="123">
        <x:f t="shared" si="19"/>
        <x:v>0</x:v>
      </x:c>
      <x:c r="CW17" s="144"/>
      <x:c r="CX17" s="116"/>
      <x:c r="CY17" s="116"/>
      <x:c r="CZ17" s="116"/>
      <x:c r="DA17" s="116"/>
      <x:c r="DB17" s="123">
        <x:f t="shared" si="20"/>
        <x:v>0</x:v>
      </x:c>
      <x:c r="DC17" s="144"/>
      <x:c r="DD17" s="116"/>
      <x:c r="DE17" s="116"/>
      <x:c r="DF17" s="116"/>
      <x:c r="DG17" s="116"/>
      <x:c r="DH17" s="123">
        <x:f t="shared" si="21"/>
        <x:v>0</x:v>
      </x:c>
      <x:c r="DI17" s="144"/>
      <x:c r="DJ17" s="116"/>
      <x:c r="DK17" s="116"/>
      <x:c r="DL17" s="116"/>
      <x:c r="DM17" s="116"/>
      <x:c r="DN17" s="123">
        <x:f t="shared" si="22"/>
        <x:v>0</x:v>
      </x:c>
      <x:c r="DO17" s="144"/>
      <x:c r="DP17" s="116"/>
      <x:c r="DQ17" s="116"/>
      <x:c r="DR17" s="116"/>
      <x:c r="DS17" s="116"/>
      <x:c r="DT17" s="123">
        <x:f t="shared" si="23"/>
        <x:v>0</x:v>
      </x:c>
      <x:c r="DU17" s="144"/>
      <x:c r="DV17" s="116"/>
      <x:c r="DW17" s="116"/>
      <x:c r="DX17" s="116"/>
      <x:c r="DY17" s="116"/>
      <x:c r="DZ17" s="123">
        <x:f t="shared" si="24"/>
        <x:v>0</x:v>
      </x:c>
      <x:c r="EA17" s="144"/>
      <x:c r="EB17" s="116"/>
      <x:c r="EC17" s="116"/>
      <x:c r="ED17" s="116"/>
      <x:c r="EE17" s="116"/>
      <x:c r="EF17" s="123">
        <x:f t="shared" si="25"/>
        <x:v>0</x:v>
      </x:c>
      <x:c r="EG17" s="146">
        <x:f t="shared" si="26"/>
        <x:v>336</x:v>
      </x:c>
      <x:c r="EH17" s="73" t="s">
        <x:v>45</x:v>
      </x:c>
      <x:c r="EI17" s="73" t="s">
        <x:v>81</x:v>
      </x:c>
      <x:c r="EJ17" s="141"/>
    </x:row>
    <x:row r="18" ht="54.75" customHeight="1">
      <x:c r="A18" s="76">
        <x:v>9</x:v>
      </x:c>
      <x:c r="B18" s="143" t="s">
        <x:v>82</x:v>
      </x:c>
      <x:c r="C18" s="73" t="s">
        <x:v>83</x:v>
      </x:c>
      <x:c r="D18" s="73" t="s">
        <x:v>84</x:v>
      </x:c>
      <x:c r="E18" s="73" t="s">
        <x:v>85</x:v>
      </x:c>
      <x:c r="F18" s="119">
        <x:f t="shared" si="5"/>
        <x:v>33</x:v>
      </x:c>
      <x:c r="G18" s="138">
        <x:v>16</x:v>
      </x:c>
      <x:c r="H18" s="139">
        <x:v>17</x:v>
      </x:c>
      <x:c r="I18" s="139"/>
      <x:c r="J18" s="139"/>
      <x:c r="K18" s="139"/>
      <x:c r="L18" s="74">
        <x:v>0.5</x:v>
      </x:c>
      <x:c r="M18" s="73" t="s">
        <x:v>86</x:v>
      </x:c>
      <x:c r="N18" s="73" t="s">
        <x:v>87</x:v>
      </x:c>
      <x:c r="O18" s="75" t="s">
        <x:v>28</x:v>
      </x:c>
      <x:c r="P18" s="85" t="s">
        <x:v>29</x:v>
      </x:c>
      <x:c r="Q18" s="138">
        <x:v>16</x:v>
      </x:c>
      <x:c r="R18" s="139">
        <x:v>17</x:v>
      </x:c>
      <x:c r="S18" s="139"/>
      <x:c r="T18" s="139"/>
      <x:c r="U18" s="139"/>
      <x:c r="V18" s="123">
        <x:f t="shared" si="6"/>
        <x:v>33</x:v>
      </x:c>
      <x:c r="W18" s="138">
        <x:v>16</x:v>
      </x:c>
      <x:c r="X18" s="139">
        <x:v>17</x:v>
      </x:c>
      <x:c r="Y18" s="139"/>
      <x:c r="Z18" s="139"/>
      <x:c r="AA18" s="139"/>
      <x:c r="AB18" s="123">
        <x:f t="shared" si="7"/>
        <x:v>33</x:v>
      </x:c>
      <x:c r="AC18" s="138">
        <x:v>16</x:v>
      </x:c>
      <x:c r="AD18" s="139">
        <x:v>17</x:v>
      </x:c>
      <x:c r="AE18" s="139"/>
      <x:c r="AF18" s="139"/>
      <x:c r="AG18" s="139"/>
      <x:c r="AH18" s="123">
        <x:f t="shared" si="8"/>
        <x:v>33</x:v>
      </x:c>
      <x:c r="AI18" s="138">
        <x:v>16</x:v>
      </x:c>
      <x:c r="AJ18" s="139">
        <x:v>17</x:v>
      </x:c>
      <x:c r="AK18" s="139"/>
      <x:c r="AL18" s="139"/>
      <x:c r="AM18" s="139"/>
      <x:c r="AN18" s="123">
        <x:f t="shared" si="9"/>
        <x:v>33</x:v>
      </x:c>
      <x:c r="AO18" s="138">
        <x:v>16</x:v>
      </x:c>
      <x:c r="AP18" s="139">
        <x:v>17</x:v>
      </x:c>
      <x:c r="AQ18" s="139"/>
      <x:c r="AR18" s="139"/>
      <x:c r="AS18" s="139"/>
      <x:c r="AT18" s="123">
        <x:f t="shared" si="10"/>
        <x:v>33</x:v>
      </x:c>
      <x:c r="AU18" s="138">
        <x:v>16</x:v>
      </x:c>
      <x:c r="AV18" s="139">
        <x:v>17</x:v>
      </x:c>
      <x:c r="AW18" s="139"/>
      <x:c r="AX18" s="139"/>
      <x:c r="AY18" s="139"/>
      <x:c r="AZ18" s="123">
        <x:f t="shared" si="11"/>
        <x:v>33</x:v>
      </x:c>
      <x:c r="BA18" s="138">
        <x:v>16</x:v>
      </x:c>
      <x:c r="BB18" s="139">
        <x:v>17</x:v>
      </x:c>
      <x:c r="BC18" s="139"/>
      <x:c r="BD18" s="139"/>
      <x:c r="BE18" s="139"/>
      <x:c r="BF18" s="123">
        <x:f t="shared" si="12"/>
        <x:v>33</x:v>
      </x:c>
      <x:c r="BG18" s="138">
        <x:v>16</x:v>
      </x:c>
      <x:c r="BH18" s="139">
        <x:v>17</x:v>
      </x:c>
      <x:c r="BI18" s="139"/>
      <x:c r="BJ18" s="139"/>
      <x:c r="BK18" s="139"/>
      <x:c r="BL18" s="123">
        <x:f t="shared" si="13"/>
        <x:v>33</x:v>
      </x:c>
      <x:c r="BM18" s="138">
        <x:v>16</x:v>
      </x:c>
      <x:c r="BN18" s="139">
        <x:v>17</x:v>
      </x:c>
      <x:c r="BO18" s="139"/>
      <x:c r="BP18" s="139"/>
      <x:c r="BQ18" s="139"/>
      <x:c r="BR18" s="123">
        <x:f t="shared" si="14"/>
        <x:v>33</x:v>
      </x:c>
      <x:c r="BS18" s="138">
        <x:v>16</x:v>
      </x:c>
      <x:c r="BT18" s="139">
        <x:v>17</x:v>
      </x:c>
      <x:c r="BU18" s="139"/>
      <x:c r="BV18" s="139"/>
      <x:c r="BW18" s="139"/>
      <x:c r="BX18" s="123">
        <x:f t="shared" si="15"/>
        <x:v>33</x:v>
      </x:c>
      <x:c r="BY18" s="138"/>
      <x:c r="BZ18" s="139"/>
      <x:c r="CA18" s="116"/>
      <x:c r="CB18" s="116"/>
      <x:c r="CC18" s="116"/>
      <x:c r="CD18" s="123">
        <x:f t="shared" si="16"/>
        <x:v>0</x:v>
      </x:c>
      <x:c r="CE18" s="138">
        <x:v>16</x:v>
      </x:c>
      <x:c r="CF18" s="139">
        <x:v>17</x:v>
      </x:c>
      <x:c r="CG18" s="139"/>
      <x:c r="CH18" s="139"/>
      <x:c r="CI18" s="139"/>
      <x:c r="CJ18" s="123">
        <x:f t="shared" si="17"/>
        <x:v>33</x:v>
      </x:c>
      <x:c r="CK18" s="127"/>
      <x:c r="CL18" s="115"/>
      <x:c r="CM18" s="115"/>
      <x:c r="CN18" s="115"/>
      <x:c r="CO18" s="115"/>
      <x:c r="CP18" s="123">
        <x:f t="shared" si="18"/>
        <x:v>0</x:v>
      </x:c>
      <x:c r="CQ18" s="127"/>
      <x:c r="CR18" s="115"/>
      <x:c r="CS18" s="115"/>
      <x:c r="CT18" s="115"/>
      <x:c r="CU18" s="115"/>
      <x:c r="CV18" s="123">
        <x:f t="shared" si="19"/>
        <x:v>0</x:v>
      </x:c>
      <x:c r="CW18" s="127"/>
      <x:c r="CX18" s="115"/>
      <x:c r="CY18" s="115"/>
      <x:c r="CZ18" s="115"/>
      <x:c r="DA18" s="115"/>
      <x:c r="DB18" s="123">
        <x:f t="shared" si="20"/>
        <x:v>0</x:v>
      </x:c>
      <x:c r="DC18" s="127"/>
      <x:c r="DD18" s="115"/>
      <x:c r="DE18" s="115"/>
      <x:c r="DF18" s="115"/>
      <x:c r="DG18" s="115"/>
      <x:c r="DH18" s="123">
        <x:f t="shared" si="21"/>
        <x:v>0</x:v>
      </x:c>
      <x:c r="DI18" s="127"/>
      <x:c r="DJ18" s="115"/>
      <x:c r="DK18" s="115"/>
      <x:c r="DL18" s="115"/>
      <x:c r="DM18" s="115"/>
      <x:c r="DN18" s="123">
        <x:f t="shared" si="22"/>
        <x:v>0</x:v>
      </x:c>
      <x:c r="DO18" s="127"/>
      <x:c r="DP18" s="115"/>
      <x:c r="DQ18" s="115"/>
      <x:c r="DR18" s="115"/>
      <x:c r="DS18" s="115"/>
      <x:c r="DT18" s="123">
        <x:f t="shared" si="23"/>
        <x:v>0</x:v>
      </x:c>
      <x:c r="DU18" s="127"/>
      <x:c r="DV18" s="115"/>
      <x:c r="DW18" s="115"/>
      <x:c r="DX18" s="115"/>
      <x:c r="DY18" s="115"/>
      <x:c r="DZ18" s="123">
        <x:f t="shared" si="24"/>
        <x:v>0</x:v>
      </x:c>
      <x:c r="EA18" s="144"/>
      <x:c r="EB18" s="116"/>
      <x:c r="EC18" s="116"/>
      <x:c r="ED18" s="116"/>
      <x:c r="EE18" s="116"/>
      <x:c r="EF18" s="123">
        <x:f t="shared" si="25"/>
        <x:v>0</x:v>
      </x:c>
      <x:c r="EG18" s="146">
        <x:f t="shared" si="26"/>
        <x:v>363</x:v>
      </x:c>
      <x:c r="EH18" s="73" t="s">
        <x:v>37</x:v>
      </x:c>
      <x:c r="EI18" s="73" t="s">
        <x:v>88</x:v>
      </x:c>
      <x:c r="EJ18" s="142"/>
    </x:row>
    <x:row r="19" ht="54.75" customHeight="1">
      <x:c r="A19" s="76">
        <x:v>10</x:v>
      </x:c>
      <x:c r="B19" s="143" t="s">
        <x:v>89</x:v>
      </x:c>
      <x:c r="C19" s="73" t="s">
        <x:v>90</x:v>
      </x:c>
      <x:c r="D19" s="137" t="s">
        <x:v>91</x:v>
      </x:c>
      <x:c r="E19" s="73" t="s">
        <x:v>92</x:v>
      </x:c>
      <x:c r="F19" s="119">
        <x:f t="shared" si="5"/>
        <x:v>37</x:v>
      </x:c>
      <x:c r="G19" s="138">
        <x:v>19</x:v>
      </x:c>
      <x:c r="H19" s="139">
        <x:v>18</x:v>
      </x:c>
      <x:c r="I19" s="139"/>
      <x:c r="J19" s="139"/>
      <x:c r="K19" s="139"/>
      <x:c r="L19" s="74">
        <x:v>0.4861111111111111</x:v>
      </x:c>
      <x:c r="M19" s="73" t="s">
        <x:v>27</x:v>
      </x:c>
      <x:c r="N19" s="73"/>
      <x:c r="O19" s="75" t="s">
        <x:v>28</x:v>
      </x:c>
      <x:c r="P19" s="85" t="s">
        <x:v>29</x:v>
      </x:c>
      <x:c r="Q19" s="138">
        <x:v>19</x:v>
      </x:c>
      <x:c r="R19" s="139">
        <x:v>18</x:v>
      </x:c>
      <x:c r="S19" s="139"/>
      <x:c r="T19" s="139"/>
      <x:c r="U19" s="139"/>
      <x:c r="V19" s="123">
        <x:f t="shared" si="6"/>
        <x:v>37</x:v>
      </x:c>
      <x:c r="W19" s="138">
        <x:v>19</x:v>
      </x:c>
      <x:c r="X19" s="139">
        <x:v>18</x:v>
      </x:c>
      <x:c r="Y19" s="139"/>
      <x:c r="Z19" s="139"/>
      <x:c r="AA19" s="139"/>
      <x:c r="AB19" s="123">
        <x:f t="shared" si="7"/>
        <x:v>37</x:v>
      </x:c>
      <x:c r="AC19" s="138">
        <x:v>19</x:v>
      </x:c>
      <x:c r="AD19" s="139">
        <x:v>18</x:v>
      </x:c>
      <x:c r="AE19" s="139"/>
      <x:c r="AF19" s="139"/>
      <x:c r="AG19" s="139"/>
      <x:c r="AH19" s="123">
        <x:f t="shared" si="8"/>
        <x:v>37</x:v>
      </x:c>
      <x:c r="AI19" s="138">
        <x:v>19</x:v>
      </x:c>
      <x:c r="AJ19" s="139">
        <x:v>18</x:v>
      </x:c>
      <x:c r="AK19" s="139"/>
      <x:c r="AL19" s="139"/>
      <x:c r="AM19" s="139"/>
      <x:c r="AN19" s="123">
        <x:f t="shared" si="9"/>
        <x:v>37</x:v>
      </x:c>
      <x:c r="AO19" s="138">
        <x:v>19</x:v>
      </x:c>
      <x:c r="AP19" s="139">
        <x:v>18</x:v>
      </x:c>
      <x:c r="AQ19" s="139"/>
      <x:c r="AR19" s="139"/>
      <x:c r="AS19" s="139"/>
      <x:c r="AT19" s="123">
        <x:f t="shared" si="10"/>
        <x:v>37</x:v>
      </x:c>
      <x:c r="AU19" s="138">
        <x:v>19</x:v>
      </x:c>
      <x:c r="AV19" s="139">
        <x:v>18</x:v>
      </x:c>
      <x:c r="AW19" s="139"/>
      <x:c r="AX19" s="139"/>
      <x:c r="AY19" s="139"/>
      <x:c r="AZ19" s="123">
        <x:f t="shared" si="11"/>
        <x:v>37</x:v>
      </x:c>
      <x:c r="BA19" s="138">
        <x:v>19</x:v>
      </x:c>
      <x:c r="BB19" s="139">
        <x:v>18</x:v>
      </x:c>
      <x:c r="BC19" s="139"/>
      <x:c r="BD19" s="139"/>
      <x:c r="BE19" s="139"/>
      <x:c r="BF19" s="123">
        <x:f t="shared" si="12"/>
        <x:v>37</x:v>
      </x:c>
      <x:c r="BG19" s="138">
        <x:v>19</x:v>
      </x:c>
      <x:c r="BH19" s="139">
        <x:v>18</x:v>
      </x:c>
      <x:c r="BI19" s="139"/>
      <x:c r="BJ19" s="139"/>
      <x:c r="BK19" s="139"/>
      <x:c r="BL19" s="123">
        <x:f t="shared" si="13"/>
        <x:v>37</x:v>
      </x:c>
      <x:c r="BM19" s="138">
        <x:v>19</x:v>
      </x:c>
      <x:c r="BN19" s="139">
        <x:v>18</x:v>
      </x:c>
      <x:c r="BO19" s="139"/>
      <x:c r="BP19" s="139"/>
      <x:c r="BQ19" s="139"/>
      <x:c r="BR19" s="123">
        <x:f t="shared" si="14"/>
        <x:v>37</x:v>
      </x:c>
      <x:c r="BS19" s="138">
        <x:v>19</x:v>
      </x:c>
      <x:c r="BT19" s="139">
        <x:v>18</x:v>
      </x:c>
      <x:c r="BU19" s="139"/>
      <x:c r="BV19" s="139"/>
      <x:c r="BW19" s="139"/>
      <x:c r="BX19" s="123">
        <x:f t="shared" si="15"/>
        <x:v>37</x:v>
      </x:c>
      <x:c r="BY19" s="144"/>
      <x:c r="BZ19" s="116"/>
      <x:c r="CA19" s="116"/>
      <x:c r="CB19" s="116"/>
      <x:c r="CC19" s="116"/>
      <x:c r="CD19" s="123">
        <x:f t="shared" si="16"/>
        <x:v>0</x:v>
      </x:c>
      <x:c r="CE19" s="144"/>
      <x:c r="CF19" s="116"/>
      <x:c r="CG19" s="116"/>
      <x:c r="CH19" s="116"/>
      <x:c r="CI19" s="116"/>
      <x:c r="CJ19" s="123">
        <x:f t="shared" si="17"/>
        <x:v>0</x:v>
      </x:c>
      <x:c r="CK19" s="144"/>
      <x:c r="CL19" s="116"/>
      <x:c r="CM19" s="116"/>
      <x:c r="CN19" s="116"/>
      <x:c r="CO19" s="116"/>
      <x:c r="CP19" s="123">
        <x:f t="shared" si="18"/>
        <x:v>0</x:v>
      </x:c>
      <x:c r="CQ19" s="144"/>
      <x:c r="CR19" s="116"/>
      <x:c r="CS19" s="116"/>
      <x:c r="CT19" s="116"/>
      <x:c r="CU19" s="116"/>
      <x:c r="CV19" s="123">
        <x:f t="shared" si="19"/>
        <x:v>0</x:v>
      </x:c>
      <x:c r="CW19" s="127"/>
      <x:c r="CX19" s="115"/>
      <x:c r="CY19" s="115"/>
      <x:c r="CZ19" s="115"/>
      <x:c r="DA19" s="115"/>
      <x:c r="DB19" s="123">
        <x:f t="shared" si="20"/>
        <x:v>0</x:v>
      </x:c>
      <x:c r="DC19" s="127"/>
      <x:c r="DD19" s="115"/>
      <x:c r="DE19" s="115"/>
      <x:c r="DF19" s="115"/>
      <x:c r="DG19" s="115"/>
      <x:c r="DH19" s="123">
        <x:f t="shared" si="21"/>
        <x:v>0</x:v>
      </x:c>
      <x:c r="DI19" s="127"/>
      <x:c r="DJ19" s="115"/>
      <x:c r="DK19" s="115"/>
      <x:c r="DL19" s="115"/>
      <x:c r="DM19" s="115"/>
      <x:c r="DN19" s="123">
        <x:f t="shared" si="22"/>
        <x:v>0</x:v>
      </x:c>
      <x:c r="DO19" s="127"/>
      <x:c r="DP19" s="115"/>
      <x:c r="DQ19" s="115"/>
      <x:c r="DR19" s="115"/>
      <x:c r="DS19" s="115"/>
      <x:c r="DT19" s="123">
        <x:f t="shared" si="23"/>
        <x:v>0</x:v>
      </x:c>
      <x:c r="DU19" s="127"/>
      <x:c r="DV19" s="115"/>
      <x:c r="DW19" s="115"/>
      <x:c r="DX19" s="115"/>
      <x:c r="DY19" s="115"/>
      <x:c r="DZ19" s="123">
        <x:f t="shared" si="24"/>
        <x:v>0</x:v>
      </x:c>
      <x:c r="EA19" s="127"/>
      <x:c r="EB19" s="115"/>
      <x:c r="EC19" s="115"/>
      <x:c r="ED19" s="115"/>
      <x:c r="EE19" s="115"/>
      <x:c r="EF19" s="123">
        <x:f t="shared" si="25"/>
        <x:v>0</x:v>
      </x:c>
      <x:c r="EG19" s="146">
        <x:f t="shared" si="26"/>
        <x:v>370</x:v>
      </x:c>
      <x:c r="EH19" s="73" t="s">
        <x:v>37</x:v>
      </x:c>
      <x:c r="EI19" s="73" t="s">
        <x:v>93</x:v>
      </x:c>
      <x:c r="EJ19" s="142"/>
    </x:row>
    <x:row r="20" ht="54.75" customHeight="1">
      <x:c r="A20" s="180" t="s">
        <x:v>316</x:v>
      </x:c>
      <x:c r="B20" s="112" t="s">
        <x:v>240</x:v>
      </x:c>
      <x:c r="C20" s="155" t="s">
        <x:v>241</x:v>
      </x:c>
      <x:c r="D20" s="173" t="s">
        <x:v>242</x:v>
      </x:c>
      <x:c r="E20" s="155" t="s">
        <x:v>243</x:v>
      </x:c>
      <x:c r="F20" s="156">
        <x:f t="shared" si="5"/>
        <x:v>4</x:v>
      </x:c>
      <x:c r="G20" s="157">
        <x:v>4</x:v>
      </x:c>
      <x:c r="H20" s="158"/>
      <x:c r="I20" s="158"/>
      <x:c r="J20" s="158"/>
      <x:c r="K20" s="158"/>
      <x:c r="L20" s="159">
        <x:v>0.5</x:v>
      </x:c>
      <x:c r="M20" s="155" t="s">
        <x:v>246</x:v>
      </x:c>
      <x:c r="N20" s="155" t="s">
        <x:v>247</x:v>
      </x:c>
      <x:c r="O20" s="160" t="s">
        <x:v>238</x:v>
      </x:c>
      <x:c r="P20" s="161" t="s">
        <x:v>60</x:v>
      </x:c>
      <x:c r="Q20" s="157">
        <x:v>4</x:v>
      </x:c>
      <x:c r="R20" s="158"/>
      <x:c r="S20" s="179"/>
      <x:c r="T20" s="179"/>
      <x:c r="U20" s="179"/>
      <x:c r="V20" s="164">
        <x:f t="shared" si="6"/>
        <x:v>4</x:v>
      </x:c>
      <x:c r="W20" s="157">
        <x:v>4</x:v>
      </x:c>
      <x:c r="X20" s="158"/>
      <x:c r="Y20" s="179"/>
      <x:c r="Z20" s="179"/>
      <x:c r="AA20" s="179"/>
      <x:c r="AB20" s="164">
        <x:f t="shared" si="7"/>
        <x:v>4</x:v>
      </x:c>
      <x:c r="AC20" s="157">
        <x:v>4</x:v>
      </x:c>
      <x:c r="AD20" s="158"/>
      <x:c r="AE20" s="179"/>
      <x:c r="AF20" s="179"/>
      <x:c r="AG20" s="179"/>
      <x:c r="AH20" s="164">
        <x:f t="shared" si="8"/>
        <x:v>4</x:v>
      </x:c>
      <x:c r="AI20" s="157">
        <x:v>4</x:v>
      </x:c>
      <x:c r="AJ20" s="158"/>
      <x:c r="AK20" s="179"/>
      <x:c r="AL20" s="179"/>
      <x:c r="AM20" s="179"/>
      <x:c r="AN20" s="164">
        <x:f t="shared" si="9"/>
        <x:v>4</x:v>
      </x:c>
      <x:c r="AO20" s="157">
        <x:v>4</x:v>
      </x:c>
      <x:c r="AP20" s="158"/>
      <x:c r="AQ20" s="179"/>
      <x:c r="AR20" s="179"/>
      <x:c r="AS20" s="179"/>
      <x:c r="AT20" s="164">
        <x:f t="shared" si="10"/>
        <x:v>4</x:v>
      </x:c>
      <x:c r="AU20" s="157">
        <x:v>4</x:v>
      </x:c>
      <x:c r="AV20" s="158"/>
      <x:c r="AW20" s="179"/>
      <x:c r="AX20" s="179"/>
      <x:c r="AY20" s="179"/>
      <x:c r="AZ20" s="164">
        <x:f t="shared" si="11"/>
        <x:v>4</x:v>
      </x:c>
      <x:c r="BA20" s="157">
        <x:v>4</x:v>
      </x:c>
      <x:c r="BB20" s="158"/>
      <x:c r="BC20" s="179"/>
      <x:c r="BD20" s="179"/>
      <x:c r="BE20" s="179"/>
      <x:c r="BF20" s="164">
        <x:f t="shared" si="12"/>
        <x:v>4</x:v>
      </x:c>
      <x:c r="BG20" s="157">
        <x:v>4</x:v>
      </x:c>
      <x:c r="BH20" s="158"/>
      <x:c r="BI20" s="179"/>
      <x:c r="BJ20" s="179"/>
      <x:c r="BK20" s="179"/>
      <x:c r="BL20" s="164">
        <x:f t="shared" si="13"/>
        <x:v>4</x:v>
      </x:c>
      <x:c r="BM20" s="157">
        <x:v>4</x:v>
      </x:c>
      <x:c r="BN20" s="158"/>
      <x:c r="BO20" s="179"/>
      <x:c r="BP20" s="179"/>
      <x:c r="BQ20" s="179"/>
      <x:c r="BR20" s="164">
        <x:f t="shared" si="14"/>
        <x:v>4</x:v>
      </x:c>
      <x:c r="BS20" s="157">
        <x:v>4</x:v>
      </x:c>
      <x:c r="BT20" s="158"/>
      <x:c r="BU20" s="179"/>
      <x:c r="BV20" s="179"/>
      <x:c r="BW20" s="179"/>
      <x:c r="BX20" s="164">
        <x:f t="shared" si="15"/>
        <x:v>4</x:v>
      </x:c>
      <x:c r="BY20" s="178">
        <x:v>5</x:v>
      </x:c>
      <x:c r="BZ20" s="179"/>
      <x:c r="CA20" s="179"/>
      <x:c r="CB20" s="179"/>
      <x:c r="CC20" s="179"/>
      <x:c r="CD20" s="164">
        <x:f t="shared" si="16"/>
        <x:v>5</x:v>
      </x:c>
      <x:c r="CE20" s="178">
        <x:v>5</x:v>
      </x:c>
      <x:c r="CF20" s="179"/>
      <x:c r="CG20" s="179"/>
      <x:c r="CH20" s="179"/>
      <x:c r="CI20" s="179"/>
      <x:c r="CJ20" s="164">
        <x:f t="shared" si="17"/>
        <x:v>5</x:v>
      </x:c>
      <x:c r="CK20" s="178">
        <x:v>5</x:v>
      </x:c>
      <x:c r="CL20" s="179"/>
      <x:c r="CM20" s="179"/>
      <x:c r="CN20" s="179"/>
      <x:c r="CO20" s="179"/>
      <x:c r="CP20" s="164">
        <x:f t="shared" si="18"/>
        <x:v>5</x:v>
      </x:c>
      <x:c r="CQ20" s="178">
        <x:v>5</x:v>
      </x:c>
      <x:c r="CR20" s="179"/>
      <x:c r="CS20" s="179"/>
      <x:c r="CT20" s="179"/>
      <x:c r="CU20" s="179"/>
      <x:c r="CV20" s="164">
        <x:f t="shared" si="19"/>
        <x:v>5</x:v>
      </x:c>
      <x:c r="CW20" s="181"/>
      <x:c r="CX20" s="165"/>
      <x:c r="CY20" s="165"/>
      <x:c r="CZ20" s="165"/>
      <x:c r="DA20" s="165"/>
      <x:c r="DB20" s="164">
        <x:f t="shared" si="20"/>
        <x:v>0</x:v>
      </x:c>
      <x:c r="DC20" s="181"/>
      <x:c r="DD20" s="165"/>
      <x:c r="DE20" s="165"/>
      <x:c r="DF20" s="165"/>
      <x:c r="DG20" s="165"/>
      <x:c r="DH20" s="164">
        <x:f t="shared" si="21"/>
        <x:v>0</x:v>
      </x:c>
      <x:c r="DI20" s="181"/>
      <x:c r="DJ20" s="165"/>
      <x:c r="DK20" s="165"/>
      <x:c r="DL20" s="165"/>
      <x:c r="DM20" s="165"/>
      <x:c r="DN20" s="164">
        <x:f t="shared" si="22"/>
        <x:v>0</x:v>
      </x:c>
      <x:c r="DO20" s="181"/>
      <x:c r="DP20" s="165"/>
      <x:c r="DQ20" s="165"/>
      <x:c r="DR20" s="165"/>
      <x:c r="DS20" s="165"/>
      <x:c r="DT20" s="164">
        <x:f t="shared" si="23"/>
        <x:v>0</x:v>
      </x:c>
      <x:c r="DU20" s="181"/>
      <x:c r="DV20" s="165"/>
      <x:c r="DW20" s="165"/>
      <x:c r="DX20" s="165"/>
      <x:c r="DY20" s="165"/>
      <x:c r="DZ20" s="164">
        <x:f t="shared" si="24"/>
        <x:v>0</x:v>
      </x:c>
      <x:c r="EA20" s="181"/>
      <x:c r="EB20" s="165"/>
      <x:c r="EC20" s="165"/>
      <x:c r="ED20" s="165"/>
      <x:c r="EE20" s="165"/>
      <x:c r="EF20" s="164">
        <x:f t="shared" si="25"/>
        <x:v>0</x:v>
      </x:c>
      <x:c r="EG20" s="167">
        <x:f t="shared" si="26"/>
        <x:v>60</x:v>
      </x:c>
      <x:c r="EH20" s="168" t="s">
        <x:v>248</x:v>
      </x:c>
      <x:c r="EI20" s="169" t="s">
        <x:v>317</x:v>
      </x:c>
      <x:c r="EJ20" s="171"/>
    </x:row>
    <x:row r="21" ht="54.75" customHeight="1">
      <x:c r="A21" s="76">
        <x:v>11</x:v>
      </x:c>
      <x:c r="B21" s="143" t="s">
        <x:v>94</x:v>
      </x:c>
      <x:c r="C21" s="73" t="s">
        <x:v>95</x:v>
      </x:c>
      <x:c r="D21" s="73" t="s">
        <x:v>96</x:v>
      </x:c>
      <x:c r="E21" s="73" t="s">
        <x:v>97</x:v>
      </x:c>
      <x:c r="F21" s="119">
        <x:f t="shared" si="5"/>
        <x:v>78</x:v>
      </x:c>
      <x:c r="G21" s="138">
        <x:v>20</x:v>
      </x:c>
      <x:c r="H21" s="139">
        <x:v>20</x:v>
      </x:c>
      <x:c r="I21" s="139">
        <x:v>18</x:v>
      </x:c>
      <x:c r="J21" s="139">
        <x:v>20</x:v>
      </x:c>
      <x:c r="K21" s="139"/>
      <x:c r="L21" s="74">
        <x:v>0.4861111111111111</x:v>
      </x:c>
      <x:c r="M21" s="73" t="s">
        <x:v>98</x:v>
      </x:c>
      <x:c r="N21" s="73"/>
      <x:c r="O21" s="75" t="s">
        <x:v>99</x:v>
      </x:c>
      <x:c r="P21" s="85" t="s">
        <x:v>29</x:v>
      </x:c>
      <x:c r="Q21" s="138">
        <x:v>20</x:v>
      </x:c>
      <x:c r="R21" s="139">
        <x:v>20</x:v>
      </x:c>
      <x:c r="S21" s="139">
        <x:v>18</x:v>
      </x:c>
      <x:c r="T21" s="139">
        <x:v>20</x:v>
      </x:c>
      <x:c r="U21" s="139"/>
      <x:c r="V21" s="123">
        <x:f t="shared" si="6"/>
        <x:v>78</x:v>
      </x:c>
      <x:c r="W21" s="138">
        <x:v>20</x:v>
      </x:c>
      <x:c r="X21" s="139">
        <x:v>20</x:v>
      </x:c>
      <x:c r="Y21" s="139">
        <x:v>18</x:v>
      </x:c>
      <x:c r="Z21" s="139">
        <x:v>20</x:v>
      </x:c>
      <x:c r="AA21" s="139"/>
      <x:c r="AB21" s="123">
        <x:f t="shared" si="7"/>
        <x:v>78</x:v>
      </x:c>
      <x:c r="AC21" s="138">
        <x:v>20</x:v>
      </x:c>
      <x:c r="AD21" s="139">
        <x:v>20</x:v>
      </x:c>
      <x:c r="AE21" s="139">
        <x:v>18</x:v>
      </x:c>
      <x:c r="AF21" s="139">
        <x:v>20</x:v>
      </x:c>
      <x:c r="AG21" s="139"/>
      <x:c r="AH21" s="123">
        <x:f t="shared" si="8"/>
        <x:v>78</x:v>
      </x:c>
      <x:c r="AI21" s="138">
        <x:v>20</x:v>
      </x:c>
      <x:c r="AJ21" s="139">
        <x:v>20</x:v>
      </x:c>
      <x:c r="AK21" s="139">
        <x:v>18</x:v>
      </x:c>
      <x:c r="AL21" s="139">
        <x:v>20</x:v>
      </x:c>
      <x:c r="AM21" s="139"/>
      <x:c r="AN21" s="123">
        <x:f t="shared" si="9"/>
        <x:v>78</x:v>
      </x:c>
      <x:c r="AO21" s="138">
        <x:v>20</x:v>
      </x:c>
      <x:c r="AP21" s="139">
        <x:v>20</x:v>
      </x:c>
      <x:c r="AQ21" s="139">
        <x:v>18</x:v>
      </x:c>
      <x:c r="AR21" s="139">
        <x:v>20</x:v>
      </x:c>
      <x:c r="AS21" s="139"/>
      <x:c r="AT21" s="123">
        <x:f t="shared" si="10"/>
        <x:v>78</x:v>
      </x:c>
      <x:c r="AU21" s="138">
        <x:v>20</x:v>
      </x:c>
      <x:c r="AV21" s="139">
        <x:v>20</x:v>
      </x:c>
      <x:c r="AW21" s="139">
        <x:v>18</x:v>
      </x:c>
      <x:c r="AX21" s="139">
        <x:v>20</x:v>
      </x:c>
      <x:c r="AY21" s="139"/>
      <x:c r="AZ21" s="123">
        <x:f t="shared" si="11"/>
        <x:v>78</x:v>
      </x:c>
      <x:c r="BA21" s="138">
        <x:v>20</x:v>
      </x:c>
      <x:c r="BB21" s="139">
        <x:v>20</x:v>
      </x:c>
      <x:c r="BC21" s="139">
        <x:v>18</x:v>
      </x:c>
      <x:c r="BD21" s="139">
        <x:v>20</x:v>
      </x:c>
      <x:c r="BE21" s="139"/>
      <x:c r="BF21" s="123">
        <x:f t="shared" si="12"/>
        <x:v>78</x:v>
      </x:c>
      <x:c r="BG21" s="138">
        <x:v>20</x:v>
      </x:c>
      <x:c r="BH21" s="139">
        <x:v>20</x:v>
      </x:c>
      <x:c r="BI21" s="139">
        <x:v>18</x:v>
      </x:c>
      <x:c r="BJ21" s="139">
        <x:v>20</x:v>
      </x:c>
      <x:c r="BK21" s="139"/>
      <x:c r="BL21" s="123">
        <x:f t="shared" si="13"/>
        <x:v>78</x:v>
      </x:c>
      <x:c r="BM21" s="138">
        <x:v>20</x:v>
      </x:c>
      <x:c r="BN21" s="139">
        <x:v>20</x:v>
      </x:c>
      <x:c r="BO21" s="139">
        <x:v>18</x:v>
      </x:c>
      <x:c r="BP21" s="139">
        <x:v>20</x:v>
      </x:c>
      <x:c r="BQ21" s="139"/>
      <x:c r="BR21" s="123">
        <x:f t="shared" si="14"/>
        <x:v>78</x:v>
      </x:c>
      <x:c r="BS21" s="138">
        <x:v>20</x:v>
      </x:c>
      <x:c r="BT21" s="139">
        <x:v>20</x:v>
      </x:c>
      <x:c r="BU21" s="139">
        <x:v>18</x:v>
      </x:c>
      <x:c r="BV21" s="139">
        <x:v>20</x:v>
      </x:c>
      <x:c r="BW21" s="139"/>
      <x:c r="BX21" s="123">
        <x:f t="shared" si="15"/>
        <x:v>78</x:v>
      </x:c>
      <x:c r="BY21" s="144"/>
      <x:c r="BZ21" s="116"/>
      <x:c r="CA21" s="116"/>
      <x:c r="CB21" s="116"/>
      <x:c r="CC21" s="116"/>
      <x:c r="CD21" s="123">
        <x:f t="shared" si="16"/>
        <x:v>0</x:v>
      </x:c>
      <x:c r="CE21" s="127"/>
      <x:c r="CF21" s="115"/>
      <x:c r="CG21" s="115"/>
      <x:c r="CH21" s="115"/>
      <x:c r="CI21" s="115"/>
      <x:c r="CJ21" s="123">
        <x:f t="shared" si="17"/>
        <x:v>0</x:v>
      </x:c>
      <x:c r="CK21" s="127"/>
      <x:c r="CL21" s="115"/>
      <x:c r="CM21" s="115"/>
      <x:c r="CN21" s="115"/>
      <x:c r="CO21" s="115"/>
      <x:c r="CP21" s="123">
        <x:f t="shared" si="18"/>
        <x:v>0</x:v>
      </x:c>
      <x:c r="CQ21" s="127"/>
      <x:c r="CR21" s="115"/>
      <x:c r="CS21" s="115"/>
      <x:c r="CT21" s="115"/>
      <x:c r="CU21" s="115"/>
      <x:c r="CV21" s="123">
        <x:f t="shared" si="19"/>
        <x:v>0</x:v>
      </x:c>
      <x:c r="CW21" s="127"/>
      <x:c r="CX21" s="115"/>
      <x:c r="CY21" s="115"/>
      <x:c r="CZ21" s="115"/>
      <x:c r="DA21" s="115"/>
      <x:c r="DB21" s="123">
        <x:f t="shared" si="20"/>
        <x:v>0</x:v>
      </x:c>
      <x:c r="DC21" s="127"/>
      <x:c r="DD21" s="115"/>
      <x:c r="DE21" s="115"/>
      <x:c r="DF21" s="115"/>
      <x:c r="DG21" s="115"/>
      <x:c r="DH21" s="123">
        <x:f t="shared" si="21"/>
        <x:v>0</x:v>
      </x:c>
      <x:c r="DI21" s="127"/>
      <x:c r="DJ21" s="115"/>
      <x:c r="DK21" s="115"/>
      <x:c r="DL21" s="115"/>
      <x:c r="DM21" s="115"/>
      <x:c r="DN21" s="123">
        <x:f t="shared" si="22"/>
        <x:v>0</x:v>
      </x:c>
      <x:c r="DO21" s="144"/>
      <x:c r="DP21" s="116"/>
      <x:c r="DQ21" s="116"/>
      <x:c r="DR21" s="116"/>
      <x:c r="DS21" s="116"/>
      <x:c r="DT21" s="123">
        <x:f t="shared" si="23"/>
        <x:v>0</x:v>
      </x:c>
      <x:c r="DU21" s="144"/>
      <x:c r="DV21" s="116"/>
      <x:c r="DW21" s="116"/>
      <x:c r="DX21" s="116"/>
      <x:c r="DY21" s="116"/>
      <x:c r="DZ21" s="123">
        <x:f t="shared" si="24"/>
        <x:v>0</x:v>
      </x:c>
      <x:c r="EA21" s="144"/>
      <x:c r="EB21" s="116"/>
      <x:c r="EC21" s="116"/>
      <x:c r="ED21" s="116"/>
      <x:c r="EE21" s="116"/>
      <x:c r="EF21" s="123">
        <x:f t="shared" si="25"/>
        <x:v>0</x:v>
      </x:c>
      <x:c r="EG21" s="146">
        <x:f t="shared" si="26"/>
        <x:v>780</x:v>
      </x:c>
      <x:c r="EH21" s="73" t="s">
        <x:v>37</x:v>
      </x:c>
      <x:c r="EI21" s="73" t="s">
        <x:v>100</x:v>
      </x:c>
      <x:c r="EJ21" s="142"/>
    </x:row>
    <x:row r="22" ht="54.75" customHeight="1">
      <x:c r="A22" s="76">
        <x:v>12</x:v>
      </x:c>
      <x:c r="B22" s="143" t="s">
        <x:v>101</x:v>
      </x:c>
      <x:c r="C22" s="73" t="s">
        <x:v>102</x:v>
      </x:c>
      <x:c r="D22" s="73" t="s">
        <x:v>103</x:v>
      </x:c>
      <x:c r="E22" s="73" t="s">
        <x:v>104</x:v>
      </x:c>
      <x:c r="F22" s="119">
        <x:f t="shared" si="5"/>
        <x:v>24</x:v>
      </x:c>
      <x:c r="G22" s="138">
        <x:v>13</x:v>
      </x:c>
      <x:c r="H22" s="139">
        <x:v>11</x:v>
      </x:c>
      <x:c r="I22" s="139"/>
      <x:c r="J22" s="139"/>
      <x:c r="K22" s="139"/>
      <x:c r="L22" s="74">
        <x:v>0.5</x:v>
      </x:c>
      <x:c r="M22" s="73" t="s">
        <x:v>105</x:v>
      </x:c>
      <x:c r="N22" s="73"/>
      <x:c r="O22" s="75" t="s">
        <x:v>106</x:v>
      </x:c>
      <x:c r="P22" s="85" t="s">
        <x:v>29</x:v>
      </x:c>
      <x:c r="Q22" s="138">
        <x:v>13</x:v>
      </x:c>
      <x:c r="R22" s="139">
        <x:v>11</x:v>
      </x:c>
      <x:c r="S22" s="139"/>
      <x:c r="T22" s="139"/>
      <x:c r="U22" s="139"/>
      <x:c r="V22" s="123">
        <x:f t="shared" si="6"/>
        <x:v>24</x:v>
      </x:c>
      <x:c r="W22" s="138">
        <x:v>13</x:v>
      </x:c>
      <x:c r="X22" s="139">
        <x:v>11</x:v>
      </x:c>
      <x:c r="Y22" s="139"/>
      <x:c r="Z22" s="139"/>
      <x:c r="AA22" s="139"/>
      <x:c r="AB22" s="123">
        <x:f t="shared" si="7"/>
        <x:v>24</x:v>
      </x:c>
      <x:c r="AC22" s="138">
        <x:v>13</x:v>
      </x:c>
      <x:c r="AD22" s="139">
        <x:v>11</x:v>
      </x:c>
      <x:c r="AE22" s="139"/>
      <x:c r="AF22" s="139"/>
      <x:c r="AG22" s="139"/>
      <x:c r="AH22" s="123">
        <x:f t="shared" si="8"/>
        <x:v>24</x:v>
      </x:c>
      <x:c r="AI22" s="138">
        <x:v>13</x:v>
      </x:c>
      <x:c r="AJ22" s="139">
        <x:v>11</x:v>
      </x:c>
      <x:c r="AK22" s="139"/>
      <x:c r="AL22" s="139"/>
      <x:c r="AM22" s="139"/>
      <x:c r="AN22" s="123">
        <x:f t="shared" si="9"/>
        <x:v>24</x:v>
      </x:c>
      <x:c r="AO22" s="138">
        <x:v>13</x:v>
      </x:c>
      <x:c r="AP22" s="139">
        <x:v>11</x:v>
      </x:c>
      <x:c r="AQ22" s="139"/>
      <x:c r="AR22" s="139"/>
      <x:c r="AS22" s="139"/>
      <x:c r="AT22" s="123">
        <x:f t="shared" si="10"/>
        <x:v>24</x:v>
      </x:c>
      <x:c r="AU22" s="138">
        <x:v>13</x:v>
      </x:c>
      <x:c r="AV22" s="139">
        <x:v>11</x:v>
      </x:c>
      <x:c r="AW22" s="139"/>
      <x:c r="AX22" s="139"/>
      <x:c r="AY22" s="139"/>
      <x:c r="AZ22" s="123">
        <x:f t="shared" si="11"/>
        <x:v>24</x:v>
      </x:c>
      <x:c r="BA22" s="138">
        <x:v>13</x:v>
      </x:c>
      <x:c r="BB22" s="139">
        <x:v>11</x:v>
      </x:c>
      <x:c r="BC22" s="139"/>
      <x:c r="BD22" s="139"/>
      <x:c r="BE22" s="139"/>
      <x:c r="BF22" s="123">
        <x:f t="shared" si="12"/>
        <x:v>24</x:v>
      </x:c>
      <x:c r="BG22" s="138">
        <x:v>13</x:v>
      </x:c>
      <x:c r="BH22" s="139">
        <x:v>11</x:v>
      </x:c>
      <x:c r="BI22" s="139"/>
      <x:c r="BJ22" s="139"/>
      <x:c r="BK22" s="139"/>
      <x:c r="BL22" s="123">
        <x:f t="shared" si="13"/>
        <x:v>24</x:v>
      </x:c>
      <x:c r="BM22" s="138">
        <x:v>13</x:v>
      </x:c>
      <x:c r="BN22" s="139">
        <x:v>11</x:v>
      </x:c>
      <x:c r="BO22" s="139"/>
      <x:c r="BP22" s="139"/>
      <x:c r="BQ22" s="139"/>
      <x:c r="BR22" s="123">
        <x:f t="shared" si="14"/>
        <x:v>24</x:v>
      </x:c>
      <x:c r="BS22" s="138">
        <x:v>13</x:v>
      </x:c>
      <x:c r="BT22" s="139">
        <x:v>11</x:v>
      </x:c>
      <x:c r="BU22" s="139"/>
      <x:c r="BV22" s="139"/>
      <x:c r="BW22" s="139"/>
      <x:c r="BX22" s="123">
        <x:f t="shared" si="15"/>
        <x:v>24</x:v>
      </x:c>
      <x:c r="BY22" s="138">
        <x:v>13</x:v>
      </x:c>
      <x:c r="BZ22" s="139">
        <x:v>11</x:v>
      </x:c>
      <x:c r="CA22" s="139"/>
      <x:c r="CB22" s="139"/>
      <x:c r="CC22" s="139"/>
      <x:c r="CD22" s="123">
        <x:f t="shared" si="16"/>
        <x:v>24</x:v>
      </x:c>
      <x:c r="CE22" s="138">
        <x:v>13</x:v>
      </x:c>
      <x:c r="CF22" s="139">
        <x:v>11</x:v>
      </x:c>
      <x:c r="CG22" s="139"/>
      <x:c r="CH22" s="139"/>
      <x:c r="CI22" s="139"/>
      <x:c r="CJ22" s="123">
        <x:f t="shared" si="17"/>
        <x:v>24</x:v>
      </x:c>
      <x:c r="CK22" s="138">
        <x:v>13</x:v>
      </x:c>
      <x:c r="CL22" s="139">
        <x:v>11</x:v>
      </x:c>
      <x:c r="CM22" s="139"/>
      <x:c r="CN22" s="139"/>
      <x:c r="CO22" s="139"/>
      <x:c r="CP22" s="123">
        <x:f t="shared" si="18"/>
        <x:v>24</x:v>
      </x:c>
      <x:c r="CQ22" s="138">
        <x:v>13</x:v>
      </x:c>
      <x:c r="CR22" s="139">
        <x:v>11</x:v>
      </x:c>
      <x:c r="CS22" s="139"/>
      <x:c r="CT22" s="139"/>
      <x:c r="CU22" s="139"/>
      <x:c r="CV22" s="123">
        <x:f t="shared" si="19"/>
        <x:v>24</x:v>
      </x:c>
      <x:c r="CW22" s="127"/>
      <x:c r="CX22" s="115"/>
      <x:c r="CY22" s="115"/>
      <x:c r="CZ22" s="115"/>
      <x:c r="DA22" s="115"/>
      <x:c r="DB22" s="123">
        <x:f t="shared" si="20"/>
        <x:v>0</x:v>
      </x:c>
      <x:c r="DC22" s="127"/>
      <x:c r="DD22" s="115"/>
      <x:c r="DE22" s="115"/>
      <x:c r="DF22" s="115"/>
      <x:c r="DG22" s="115"/>
      <x:c r="DH22" s="123">
        <x:f t="shared" si="21"/>
        <x:v>0</x:v>
      </x:c>
      <x:c r="DI22" s="127"/>
      <x:c r="DJ22" s="115"/>
      <x:c r="DK22" s="115"/>
      <x:c r="DL22" s="115"/>
      <x:c r="DM22" s="115"/>
      <x:c r="DN22" s="123">
        <x:f t="shared" si="22"/>
        <x:v>0</x:v>
      </x:c>
      <x:c r="DO22" s="127"/>
      <x:c r="DP22" s="115"/>
      <x:c r="DQ22" s="115"/>
      <x:c r="DR22" s="115"/>
      <x:c r="DS22" s="115"/>
      <x:c r="DT22" s="123">
        <x:f t="shared" si="23"/>
        <x:v>0</x:v>
      </x:c>
      <x:c r="DU22" s="127"/>
      <x:c r="DV22" s="115"/>
      <x:c r="DW22" s="115"/>
      <x:c r="DX22" s="115"/>
      <x:c r="DY22" s="115"/>
      <x:c r="DZ22" s="123">
        <x:f t="shared" si="24"/>
        <x:v>0</x:v>
      </x:c>
      <x:c r="EA22" s="127"/>
      <x:c r="EB22" s="115"/>
      <x:c r="EC22" s="115"/>
      <x:c r="ED22" s="115"/>
      <x:c r="EE22" s="115"/>
      <x:c r="EF22" s="123">
        <x:f t="shared" si="25"/>
        <x:v>0</x:v>
      </x:c>
      <x:c r="EG22" s="146">
        <x:f t="shared" si="26"/>
        <x:v>336</x:v>
      </x:c>
      <x:c r="EH22" s="73" t="s">
        <x:v>37</x:v>
      </x:c>
      <x:c r="EI22" s="73" t="s">
        <x:v>107</x:v>
      </x:c>
      <x:c r="EJ22" s="142"/>
    </x:row>
    <x:row r="23" ht="54.75" customHeight="1">
      <x:c r="A23" s="180" t="s">
        <x:v>318</x:v>
      </x:c>
      <x:c r="B23" s="112" t="s">
        <x:v>249</x:v>
      </x:c>
      <x:c r="C23" s="155" t="s">
        <x:v>102</x:v>
      </x:c>
      <x:c r="D23" s="155" t="s">
        <x:v>250</x:v>
      </x:c>
      <x:c r="E23" s="155" t="s">
        <x:v>251</x:v>
      </x:c>
      <x:c r="F23" s="156">
        <x:f t="shared" si="5"/>
        <x:v>2</x:v>
      </x:c>
      <x:c r="G23" s="157">
        <x:v>2</x:v>
      </x:c>
      <x:c r="H23" s="158"/>
      <x:c r="I23" s="158"/>
      <x:c r="J23" s="158"/>
      <x:c r="K23" s="158"/>
      <x:c r="L23" s="159">
        <x:v>0.5</x:v>
      </x:c>
      <x:c r="M23" s="155" t="s">
        <x:v>253</x:v>
      </x:c>
      <x:c r="N23" s="155" t="s">
        <x:v>247</x:v>
      </x:c>
      <x:c r="O23" s="160" t="s">
        <x:v>181</x:v>
      </x:c>
      <x:c r="P23" s="161" t="s">
        <x:v>60</x:v>
      </x:c>
      <x:c r="Q23" s="157">
        <x:v>2</x:v>
      </x:c>
      <x:c r="R23" s="158"/>
      <x:c r="S23" s="179"/>
      <x:c r="T23" s="179"/>
      <x:c r="U23" s="179"/>
      <x:c r="V23" s="164">
        <x:f t="shared" si="6"/>
        <x:v>2</x:v>
      </x:c>
      <x:c r="W23" s="157">
        <x:v>2</x:v>
      </x:c>
      <x:c r="X23" s="158"/>
      <x:c r="Y23" s="179"/>
      <x:c r="Z23" s="179"/>
      <x:c r="AA23" s="179"/>
      <x:c r="AB23" s="164">
        <x:f t="shared" si="7"/>
        <x:v>2</x:v>
      </x:c>
      <x:c r="AC23" s="157">
        <x:v>2</x:v>
      </x:c>
      <x:c r="AD23" s="158"/>
      <x:c r="AE23" s="179"/>
      <x:c r="AF23" s="179"/>
      <x:c r="AG23" s="179"/>
      <x:c r="AH23" s="164">
        <x:f t="shared" si="8"/>
        <x:v>2</x:v>
      </x:c>
      <x:c r="AI23" s="157">
        <x:v>2</x:v>
      </x:c>
      <x:c r="AJ23" s="158"/>
      <x:c r="AK23" s="179"/>
      <x:c r="AL23" s="179"/>
      <x:c r="AM23" s="179"/>
      <x:c r="AN23" s="164">
        <x:f t="shared" si="9"/>
        <x:v>2</x:v>
      </x:c>
      <x:c r="AO23" s="157">
        <x:v>2</x:v>
      </x:c>
      <x:c r="AP23" s="158"/>
      <x:c r="AQ23" s="179"/>
      <x:c r="AR23" s="179"/>
      <x:c r="AS23" s="179"/>
      <x:c r="AT23" s="164">
        <x:f t="shared" si="10"/>
        <x:v>2</x:v>
      </x:c>
      <x:c r="AU23" s="157">
        <x:v>2</x:v>
      </x:c>
      <x:c r="AV23" s="158"/>
      <x:c r="AW23" s="179"/>
      <x:c r="AX23" s="179"/>
      <x:c r="AY23" s="179"/>
      <x:c r="AZ23" s="164">
        <x:f t="shared" si="11"/>
        <x:v>2</x:v>
      </x:c>
      <x:c r="BA23" s="157">
        <x:v>2</x:v>
      </x:c>
      <x:c r="BB23" s="158"/>
      <x:c r="BC23" s="179"/>
      <x:c r="BD23" s="179"/>
      <x:c r="BE23" s="179"/>
      <x:c r="BF23" s="164">
        <x:f t="shared" si="12"/>
        <x:v>2</x:v>
      </x:c>
      <x:c r="BG23" s="157">
        <x:v>2</x:v>
      </x:c>
      <x:c r="BH23" s="158"/>
      <x:c r="BI23" s="179"/>
      <x:c r="BJ23" s="179"/>
      <x:c r="BK23" s="179"/>
      <x:c r="BL23" s="164">
        <x:f t="shared" si="13"/>
        <x:v>2</x:v>
      </x:c>
      <x:c r="BM23" s="157">
        <x:v>2</x:v>
      </x:c>
      <x:c r="BN23" s="158"/>
      <x:c r="BO23" s="179"/>
      <x:c r="BP23" s="179"/>
      <x:c r="BQ23" s="179"/>
      <x:c r="BR23" s="164">
        <x:f t="shared" si="14"/>
        <x:v>2</x:v>
      </x:c>
      <x:c r="BS23" s="157">
        <x:v>2</x:v>
      </x:c>
      <x:c r="BT23" s="158"/>
      <x:c r="BU23" s="179"/>
      <x:c r="BV23" s="179"/>
      <x:c r="BW23" s="179"/>
      <x:c r="BX23" s="164">
        <x:f t="shared" si="15"/>
        <x:v>2</x:v>
      </x:c>
      <x:c r="BY23" s="157">
        <x:v>2</x:v>
      </x:c>
      <x:c r="BZ23" s="158"/>
      <x:c r="CA23" s="179"/>
      <x:c r="CB23" s="179"/>
      <x:c r="CC23" s="179"/>
      <x:c r="CD23" s="164">
        <x:f t="shared" si="16"/>
        <x:v>2</x:v>
      </x:c>
      <x:c r="CE23" s="157">
        <x:v>2</x:v>
      </x:c>
      <x:c r="CF23" s="158"/>
      <x:c r="CG23" s="179"/>
      <x:c r="CH23" s="179"/>
      <x:c r="CI23" s="179"/>
      <x:c r="CJ23" s="164">
        <x:f t="shared" si="17"/>
        <x:v>2</x:v>
      </x:c>
      <x:c r="CK23" s="157">
        <x:v>2</x:v>
      </x:c>
      <x:c r="CL23" s="158"/>
      <x:c r="CM23" s="165"/>
      <x:c r="CN23" s="165"/>
      <x:c r="CO23" s="165"/>
      <x:c r="CP23" s="164">
        <x:f t="shared" si="18"/>
        <x:v>2</x:v>
      </x:c>
      <x:c r="CQ23" s="157">
        <x:v>2</x:v>
      </x:c>
      <x:c r="CR23" s="158"/>
      <x:c r="CS23" s="165"/>
      <x:c r="CT23" s="165"/>
      <x:c r="CU23" s="165"/>
      <x:c r="CV23" s="164">
        <x:f t="shared" si="19"/>
        <x:v>2</x:v>
      </x:c>
      <x:c r="CW23" s="181"/>
      <x:c r="CX23" s="165"/>
      <x:c r="CY23" s="165"/>
      <x:c r="CZ23" s="165"/>
      <x:c r="DA23" s="165"/>
      <x:c r="DB23" s="164">
        <x:f t="shared" si="20"/>
        <x:v>0</x:v>
      </x:c>
      <x:c r="DC23" s="181"/>
      <x:c r="DD23" s="165"/>
      <x:c r="DE23" s="165"/>
      <x:c r="DF23" s="165"/>
      <x:c r="DG23" s="165"/>
      <x:c r="DH23" s="164">
        <x:f t="shared" si="21"/>
        <x:v>0</x:v>
      </x:c>
      <x:c r="DI23" s="181"/>
      <x:c r="DJ23" s="165"/>
      <x:c r="DK23" s="165"/>
      <x:c r="DL23" s="165"/>
      <x:c r="DM23" s="165"/>
      <x:c r="DN23" s="164">
        <x:f t="shared" si="22"/>
        <x:v>0</x:v>
      </x:c>
      <x:c r="DO23" s="181"/>
      <x:c r="DP23" s="165"/>
      <x:c r="DQ23" s="165"/>
      <x:c r="DR23" s="165"/>
      <x:c r="DS23" s="165"/>
      <x:c r="DT23" s="164">
        <x:f t="shared" si="23"/>
        <x:v>0</x:v>
      </x:c>
      <x:c r="DU23" s="181"/>
      <x:c r="DV23" s="165"/>
      <x:c r="DW23" s="165"/>
      <x:c r="DX23" s="165"/>
      <x:c r="DY23" s="165"/>
      <x:c r="DZ23" s="164">
        <x:f t="shared" si="24"/>
        <x:v>0</x:v>
      </x:c>
      <x:c r="EA23" s="181"/>
      <x:c r="EB23" s="165"/>
      <x:c r="EC23" s="165"/>
      <x:c r="ED23" s="165"/>
      <x:c r="EE23" s="165"/>
      <x:c r="EF23" s="164">
        <x:f t="shared" si="25"/>
        <x:v>0</x:v>
      </x:c>
      <x:c r="EG23" s="167">
        <x:f t="shared" si="26"/>
        <x:v>28</x:v>
      </x:c>
      <x:c r="EH23" s="169" t="s">
        <x:v>319</x:v>
      </x:c>
      <x:c r="EI23" s="169" t="s">
        <x:v>320</x:v>
      </x:c>
      <x:c r="EJ23" s="171"/>
    </x:row>
    <x:row r="24" ht="54.75" customHeight="1">
      <x:c r="A24" s="76">
        <x:v>13</x:v>
      </x:c>
      <x:c r="B24" s="143" t="s">
        <x:v>108</x:v>
      </x:c>
      <x:c r="C24" s="73" t="s">
        <x:v>109</x:v>
      </x:c>
      <x:c r="D24" s="73" t="s">
        <x:v>110</x:v>
      </x:c>
      <x:c r="E24" s="73" t="s">
        <x:v>111</x:v>
      </x:c>
      <x:c r="F24" s="119">
        <x:f t="shared" si="5"/>
        <x:v>36</x:v>
      </x:c>
      <x:c r="G24" s="138">
        <x:v>21</x:v>
      </x:c>
      <x:c r="H24" s="139">
        <x:v>15</x:v>
      </x:c>
      <x:c r="I24" s="139"/>
      <x:c r="J24" s="139"/>
      <x:c r="K24" s="139"/>
      <x:c r="L24" s="74">
        <x:v>0.4861111111111111</x:v>
      </x:c>
      <x:c r="M24" s="73" t="s">
        <x:v>66</x:v>
      </x:c>
      <x:c r="N24" s="73" t="s">
        <x:v>43</x:v>
      </x:c>
      <x:c r="O24" s="75" t="s">
        <x:v>67</x:v>
      </x:c>
      <x:c r="P24" s="85" t="s">
        <x:v>29</x:v>
      </x:c>
      <x:c r="Q24" s="138">
        <x:v>21</x:v>
      </x:c>
      <x:c r="R24" s="139">
        <x:v>15</x:v>
      </x:c>
      <x:c r="S24" s="139"/>
      <x:c r="T24" s="139"/>
      <x:c r="U24" s="139"/>
      <x:c r="V24" s="123">
        <x:f t="shared" si="6"/>
        <x:v>36</x:v>
      </x:c>
      <x:c r="W24" s="138">
        <x:v>21</x:v>
      </x:c>
      <x:c r="X24" s="139">
        <x:v>15</x:v>
      </x:c>
      <x:c r="Y24" s="139"/>
      <x:c r="Z24" s="139"/>
      <x:c r="AA24" s="139"/>
      <x:c r="AB24" s="123">
        <x:f t="shared" si="7"/>
        <x:v>36</x:v>
      </x:c>
      <x:c r="AC24" s="138">
        <x:v>21</x:v>
      </x:c>
      <x:c r="AD24" s="139">
        <x:v>15</x:v>
      </x:c>
      <x:c r="AE24" s="139"/>
      <x:c r="AF24" s="139"/>
      <x:c r="AG24" s="139"/>
      <x:c r="AH24" s="123">
        <x:f t="shared" si="8"/>
        <x:v>36</x:v>
      </x:c>
      <x:c r="AI24" s="138">
        <x:v>21</x:v>
      </x:c>
      <x:c r="AJ24" s="139">
        <x:v>15</x:v>
      </x:c>
      <x:c r="AK24" s="139"/>
      <x:c r="AL24" s="139"/>
      <x:c r="AM24" s="139"/>
      <x:c r="AN24" s="123">
        <x:f t="shared" si="9"/>
        <x:v>36</x:v>
      </x:c>
      <x:c r="AO24" s="138">
        <x:v>21</x:v>
      </x:c>
      <x:c r="AP24" s="139">
        <x:v>15</x:v>
      </x:c>
      <x:c r="AQ24" s="139"/>
      <x:c r="AR24" s="139"/>
      <x:c r="AS24" s="139"/>
      <x:c r="AT24" s="123">
        <x:f t="shared" si="10"/>
        <x:v>36</x:v>
      </x:c>
      <x:c r="AU24" s="138">
        <x:v>21</x:v>
      </x:c>
      <x:c r="AV24" s="139">
        <x:v>15</x:v>
      </x:c>
      <x:c r="AW24" s="139"/>
      <x:c r="AX24" s="139"/>
      <x:c r="AY24" s="139"/>
      <x:c r="AZ24" s="123">
        <x:f t="shared" si="11"/>
        <x:v>36</x:v>
      </x:c>
      <x:c r="BA24" s="138">
        <x:v>21</x:v>
      </x:c>
      <x:c r="BB24" s="139">
        <x:v>15</x:v>
      </x:c>
      <x:c r="BC24" s="139"/>
      <x:c r="BD24" s="139"/>
      <x:c r="BE24" s="139"/>
      <x:c r="BF24" s="123">
        <x:f t="shared" si="12"/>
        <x:v>36</x:v>
      </x:c>
      <x:c r="BG24" s="138">
        <x:v>21</x:v>
      </x:c>
      <x:c r="BH24" s="139">
        <x:v>15</x:v>
      </x:c>
      <x:c r="BI24" s="139"/>
      <x:c r="BJ24" s="139"/>
      <x:c r="BK24" s="139"/>
      <x:c r="BL24" s="123">
        <x:f t="shared" si="13"/>
        <x:v>36</x:v>
      </x:c>
      <x:c r="BM24" s="138">
        <x:v>21</x:v>
      </x:c>
      <x:c r="BN24" s="139">
        <x:v>15</x:v>
      </x:c>
      <x:c r="BO24" s="139"/>
      <x:c r="BP24" s="139"/>
      <x:c r="BQ24" s="139"/>
      <x:c r="BR24" s="123">
        <x:f t="shared" si="14"/>
        <x:v>36</x:v>
      </x:c>
      <x:c r="BS24" s="138">
        <x:v>21</x:v>
      </x:c>
      <x:c r="BT24" s="139">
        <x:v>15</x:v>
      </x:c>
      <x:c r="BU24" s="139"/>
      <x:c r="BV24" s="139"/>
      <x:c r="BW24" s="139"/>
      <x:c r="BX24" s="123">
        <x:f t="shared" si="15"/>
        <x:v>36</x:v>
      </x:c>
      <x:c r="BY24" s="138">
        <x:v>21</x:v>
      </x:c>
      <x:c r="BZ24" s="139">
        <x:v>15</x:v>
      </x:c>
      <x:c r="CA24" s="139"/>
      <x:c r="CB24" s="139"/>
      <x:c r="CC24" s="139"/>
      <x:c r="CD24" s="123">
        <x:f t="shared" si="16"/>
        <x:v>36</x:v>
      </x:c>
      <x:c r="CE24" s="138">
        <x:v>21</x:v>
      </x:c>
      <x:c r="CF24" s="139">
        <x:v>15</x:v>
      </x:c>
      <x:c r="CG24" s="139"/>
      <x:c r="CH24" s="139"/>
      <x:c r="CI24" s="139"/>
      <x:c r="CJ24" s="123">
        <x:f t="shared" si="17"/>
        <x:v>36</x:v>
      </x:c>
      <x:c r="CK24" s="138">
        <x:v>21</x:v>
      </x:c>
      <x:c r="CL24" s="139">
        <x:v>15</x:v>
      </x:c>
      <x:c r="CM24" s="139"/>
      <x:c r="CN24" s="139"/>
      <x:c r="CO24" s="139"/>
      <x:c r="CP24" s="123">
        <x:f t="shared" si="18"/>
        <x:v>36</x:v>
      </x:c>
      <x:c r="CQ24" s="144"/>
      <x:c r="CR24" s="116"/>
      <x:c r="CS24" s="116"/>
      <x:c r="CT24" s="116"/>
      <x:c r="CU24" s="116"/>
      <x:c r="CV24" s="123">
        <x:f t="shared" si="19"/>
        <x:v>0</x:v>
      </x:c>
      <x:c r="CW24" s="144"/>
      <x:c r="CX24" s="116"/>
      <x:c r="CY24" s="116"/>
      <x:c r="CZ24" s="116"/>
      <x:c r="DA24" s="116"/>
      <x:c r="DB24" s="123">
        <x:f t="shared" si="20"/>
        <x:v>0</x:v>
      </x:c>
      <x:c r="DC24" s="144"/>
      <x:c r="DD24" s="116"/>
      <x:c r="DE24" s="116"/>
      <x:c r="DF24" s="116"/>
      <x:c r="DG24" s="116"/>
      <x:c r="DH24" s="123">
        <x:f t="shared" si="21"/>
        <x:v>0</x:v>
      </x:c>
      <x:c r="DI24" s="144"/>
      <x:c r="DJ24" s="116"/>
      <x:c r="DK24" s="116"/>
      <x:c r="DL24" s="116"/>
      <x:c r="DM24" s="116"/>
      <x:c r="DN24" s="123">
        <x:f t="shared" si="22"/>
        <x:v>0</x:v>
      </x:c>
      <x:c r="DO24" s="144"/>
      <x:c r="DP24" s="116"/>
      <x:c r="DQ24" s="116"/>
      <x:c r="DR24" s="116"/>
      <x:c r="DS24" s="116"/>
      <x:c r="DT24" s="123">
        <x:f t="shared" si="23"/>
        <x:v>0</x:v>
      </x:c>
      <x:c r="DU24" s="144"/>
      <x:c r="DV24" s="116"/>
      <x:c r="DW24" s="116"/>
      <x:c r="DX24" s="116"/>
      <x:c r="DY24" s="116"/>
      <x:c r="DZ24" s="123">
        <x:f t="shared" si="24"/>
        <x:v>0</x:v>
      </x:c>
      <x:c r="EA24" s="144"/>
      <x:c r="EB24" s="116"/>
      <x:c r="EC24" s="116"/>
      <x:c r="ED24" s="116"/>
      <x:c r="EE24" s="116"/>
      <x:c r="EF24" s="123">
        <x:f t="shared" si="25"/>
        <x:v>0</x:v>
      </x:c>
      <x:c r="EG24" s="146">
        <x:f t="shared" si="26"/>
        <x:v>468</x:v>
      </x:c>
      <x:c r="EH24" s="73" t="s">
        <x:v>37</x:v>
      </x:c>
      <x:c r="EI24" s="73" t="s">
        <x:v>112</x:v>
      </x:c>
      <x:c r="EJ24" s="142"/>
    </x:row>
    <x:row r="25" ht="54.75" customHeight="1">
      <x:c r="A25" s="76">
        <x:v>14</x:v>
      </x:c>
      <x:c r="B25" s="143" t="s">
        <x:v>113</x:v>
      </x:c>
      <x:c r="C25" s="73" t="s">
        <x:v>114</x:v>
      </x:c>
      <x:c r="D25" s="73" t="s">
        <x:v>115</x:v>
      </x:c>
      <x:c r="E25" s="73" t="s">
        <x:v>116</x:v>
      </x:c>
      <x:c r="F25" s="119">
        <x:f t="shared" si="5"/>
        <x:v>39</x:v>
      </x:c>
      <x:c r="G25" s="138">
        <x:v>20</x:v>
      </x:c>
      <x:c r="H25" s="139">
        <x:v>19</x:v>
      </x:c>
      <x:c r="I25" s="139"/>
      <x:c r="J25" s="139"/>
      <x:c r="K25" s="139"/>
      <x:c r="L25" s="74">
        <x:v>0.5</x:v>
      </x:c>
      <x:c r="M25" s="73" t="s">
        <x:v>117</x:v>
      </x:c>
      <x:c r="N25" s="73"/>
      <x:c r="O25" s="75" t="s">
        <x:v>99</x:v>
      </x:c>
      <x:c r="P25" s="85" t="s">
        <x:v>29</x:v>
      </x:c>
      <x:c r="Q25" s="138">
        <x:v>20</x:v>
      </x:c>
      <x:c r="R25" s="139">
        <x:v>19</x:v>
      </x:c>
      <x:c r="S25" s="139"/>
      <x:c r="T25" s="139"/>
      <x:c r="U25" s="139"/>
      <x:c r="V25" s="123">
        <x:f t="shared" si="6"/>
        <x:v>39</x:v>
      </x:c>
      <x:c r="W25" s="138">
        <x:v>20</x:v>
      </x:c>
      <x:c r="X25" s="139">
        <x:v>19</x:v>
      </x:c>
      <x:c r="Y25" s="139"/>
      <x:c r="Z25" s="139"/>
      <x:c r="AA25" s="139"/>
      <x:c r="AB25" s="123">
        <x:f t="shared" si="7"/>
        <x:v>39</x:v>
      </x:c>
      <x:c r="AC25" s="138">
        <x:v>20</x:v>
      </x:c>
      <x:c r="AD25" s="139">
        <x:v>19</x:v>
      </x:c>
      <x:c r="AE25" s="139"/>
      <x:c r="AF25" s="139"/>
      <x:c r="AG25" s="139"/>
      <x:c r="AH25" s="123">
        <x:f t="shared" si="8"/>
        <x:v>39</x:v>
      </x:c>
      <x:c r="AI25" s="138">
        <x:v>20</x:v>
      </x:c>
      <x:c r="AJ25" s="139">
        <x:v>19</x:v>
      </x:c>
      <x:c r="AK25" s="139"/>
      <x:c r="AL25" s="139"/>
      <x:c r="AM25" s="139"/>
      <x:c r="AN25" s="123">
        <x:f t="shared" si="9"/>
        <x:v>39</x:v>
      </x:c>
      <x:c r="AO25" s="138">
        <x:v>20</x:v>
      </x:c>
      <x:c r="AP25" s="139">
        <x:v>19</x:v>
      </x:c>
      <x:c r="AQ25" s="139"/>
      <x:c r="AR25" s="139"/>
      <x:c r="AS25" s="139"/>
      <x:c r="AT25" s="123">
        <x:f t="shared" si="10"/>
        <x:v>39</x:v>
      </x:c>
      <x:c r="AU25" s="138">
        <x:v>20</x:v>
      </x:c>
      <x:c r="AV25" s="139">
        <x:v>19</x:v>
      </x:c>
      <x:c r="AW25" s="139"/>
      <x:c r="AX25" s="139"/>
      <x:c r="AY25" s="139"/>
      <x:c r="AZ25" s="123">
        <x:f t="shared" si="11"/>
        <x:v>39</x:v>
      </x:c>
      <x:c r="BA25" s="138">
        <x:v>20</x:v>
      </x:c>
      <x:c r="BB25" s="139">
        <x:v>19</x:v>
      </x:c>
      <x:c r="BC25" s="139"/>
      <x:c r="BD25" s="139"/>
      <x:c r="BE25" s="139"/>
      <x:c r="BF25" s="123">
        <x:f t="shared" si="12"/>
        <x:v>39</x:v>
      </x:c>
      <x:c r="BG25" s="138">
        <x:v>20</x:v>
      </x:c>
      <x:c r="BH25" s="139">
        <x:v>19</x:v>
      </x:c>
      <x:c r="BI25" s="139"/>
      <x:c r="BJ25" s="139"/>
      <x:c r="BK25" s="139"/>
      <x:c r="BL25" s="123">
        <x:f t="shared" si="13"/>
        <x:v>39</x:v>
      </x:c>
      <x:c r="BM25" s="138">
        <x:v>20</x:v>
      </x:c>
      <x:c r="BN25" s="139">
        <x:v>19</x:v>
      </x:c>
      <x:c r="BO25" s="139"/>
      <x:c r="BP25" s="139"/>
      <x:c r="BQ25" s="139"/>
      <x:c r="BR25" s="123">
        <x:f t="shared" si="14"/>
        <x:v>39</x:v>
      </x:c>
      <x:c r="BS25" s="138">
        <x:v>20</x:v>
      </x:c>
      <x:c r="BT25" s="139">
        <x:v>19</x:v>
      </x:c>
      <x:c r="BU25" s="139"/>
      <x:c r="BV25" s="139"/>
      <x:c r="BW25" s="139"/>
      <x:c r="BX25" s="123">
        <x:f t="shared" si="15"/>
        <x:v>39</x:v>
      </x:c>
      <x:c r="BY25" s="138">
        <x:v>20</x:v>
      </x:c>
      <x:c r="BZ25" s="139">
        <x:v>19</x:v>
      </x:c>
      <x:c r="CA25" s="139"/>
      <x:c r="CB25" s="139"/>
      <x:c r="CC25" s="139"/>
      <x:c r="CD25" s="123">
        <x:f t="shared" si="16"/>
        <x:v>39</x:v>
      </x:c>
      <x:c r="CE25" s="138"/>
      <x:c r="CF25" s="139"/>
      <x:c r="CG25" s="116"/>
      <x:c r="CH25" s="116"/>
      <x:c r="CI25" s="116"/>
      <x:c r="CJ25" s="123">
        <x:f t="shared" si="17"/>
        <x:v>0</x:v>
      </x:c>
      <x:c r="CK25" s="138"/>
      <x:c r="CL25" s="139"/>
      <x:c r="CM25" s="116"/>
      <x:c r="CN25" s="116"/>
      <x:c r="CO25" s="116"/>
      <x:c r="CP25" s="123">
        <x:f t="shared" si="18"/>
        <x:v>0</x:v>
      </x:c>
      <x:c r="CQ25" s="138"/>
      <x:c r="CR25" s="139"/>
      <x:c r="CS25" s="115"/>
      <x:c r="CT25" s="115"/>
      <x:c r="CU25" s="115"/>
      <x:c r="CV25" s="123">
        <x:f t="shared" si="19"/>
        <x:v>0</x:v>
      </x:c>
      <x:c r="CW25" s="138"/>
      <x:c r="CX25" s="139"/>
      <x:c r="CY25" s="115"/>
      <x:c r="CZ25" s="115"/>
      <x:c r="DA25" s="115"/>
      <x:c r="DB25" s="123">
        <x:f t="shared" si="20"/>
        <x:v>0</x:v>
      </x:c>
      <x:c r="DC25" s="127"/>
      <x:c r="DD25" s="115"/>
      <x:c r="DE25" s="115"/>
      <x:c r="DF25" s="115"/>
      <x:c r="DG25" s="115"/>
      <x:c r="DH25" s="123">
        <x:f t="shared" si="21"/>
        <x:v>0</x:v>
      </x:c>
      <x:c r="DI25" s="144"/>
      <x:c r="DJ25" s="116"/>
      <x:c r="DK25" s="116"/>
      <x:c r="DL25" s="116"/>
      <x:c r="DM25" s="116"/>
      <x:c r="DN25" s="123">
        <x:f t="shared" si="22"/>
        <x:v>0</x:v>
      </x:c>
      <x:c r="DO25" s="127"/>
      <x:c r="DP25" s="115"/>
      <x:c r="DQ25" s="115"/>
      <x:c r="DR25" s="115"/>
      <x:c r="DS25" s="115"/>
      <x:c r="DT25" s="123">
        <x:f t="shared" si="23"/>
        <x:v>0</x:v>
      </x:c>
      <x:c r="DU25" s="127"/>
      <x:c r="DV25" s="115"/>
      <x:c r="DW25" s="115"/>
      <x:c r="DX25" s="115"/>
      <x:c r="DY25" s="115"/>
      <x:c r="DZ25" s="123">
        <x:f t="shared" si="24"/>
        <x:v>0</x:v>
      </x:c>
      <x:c r="EA25" s="144"/>
      <x:c r="EB25" s="116"/>
      <x:c r="EC25" s="116"/>
      <x:c r="ED25" s="116"/>
      <x:c r="EE25" s="116"/>
      <x:c r="EF25" s="123">
        <x:f t="shared" si="25"/>
        <x:v>0</x:v>
      </x:c>
      <x:c r="EG25" s="146">
        <x:f t="shared" si="26"/>
        <x:v>429</x:v>
      </x:c>
      <x:c r="EH25" s="73" t="s">
        <x:v>45</x:v>
      </x:c>
      <x:c r="EI25" s="73" t="s">
        <x:v>118</x:v>
      </x:c>
      <x:c r="EJ25" s="142"/>
    </x:row>
    <x:row r="26" ht="54.75" customHeight="1">
      <x:c r="A26" s="180" t="s">
        <x:v>321</x:v>
      </x:c>
      <x:c r="B26" s="112" t="s">
        <x:v>255</x:v>
      </x:c>
      <x:c r="C26" s="155" t="s">
        <x:v>114</x:v>
      </x:c>
      <x:c r="D26" s="155" t="s">
        <x:v>256</x:v>
      </x:c>
      <x:c r="E26" s="155" t="s">
        <x:v>257</x:v>
      </x:c>
      <x:c r="F26" s="156">
        <x:f t="shared" si="5"/>
        <x:v>11</x:v>
      </x:c>
      <x:c r="G26" s="157">
        <x:v>11</x:v>
      </x:c>
      <x:c r="H26" s="158"/>
      <x:c r="I26" s="158"/>
      <x:c r="J26" s="158"/>
      <x:c r="K26" s="158"/>
      <x:c r="L26" s="159">
        <x:v>0.49305555555555558</x:v>
      </x:c>
      <x:c r="M26" s="155" t="s">
        <x:v>259</x:v>
      </x:c>
      <x:c r="N26" s="155"/>
      <x:c r="O26" s="160" t="s">
        <x:v>181</x:v>
      </x:c>
      <x:c r="P26" s="161" t="s">
        <x:v>60</x:v>
      </x:c>
      <x:c r="Q26" s="157">
        <x:v>11</x:v>
      </x:c>
      <x:c r="R26" s="158"/>
      <x:c r="S26" s="179"/>
      <x:c r="T26" s="179"/>
      <x:c r="U26" s="179"/>
      <x:c r="V26" s="164">
        <x:f t="shared" si="6"/>
        <x:v>11</x:v>
      </x:c>
      <x:c r="W26" s="157">
        <x:v>11</x:v>
      </x:c>
      <x:c r="X26" s="158"/>
      <x:c r="Y26" s="179"/>
      <x:c r="Z26" s="179"/>
      <x:c r="AA26" s="179"/>
      <x:c r="AB26" s="164">
        <x:f t="shared" si="7"/>
        <x:v>11</x:v>
      </x:c>
      <x:c r="AC26" s="157">
        <x:v>11</x:v>
      </x:c>
      <x:c r="AD26" s="158"/>
      <x:c r="AE26" s="179"/>
      <x:c r="AF26" s="179"/>
      <x:c r="AG26" s="179"/>
      <x:c r="AH26" s="164">
        <x:f t="shared" si="8"/>
        <x:v>11</x:v>
      </x:c>
      <x:c r="AI26" s="157">
        <x:v>11</x:v>
      </x:c>
      <x:c r="AJ26" s="158"/>
      <x:c r="AK26" s="179"/>
      <x:c r="AL26" s="179"/>
      <x:c r="AM26" s="179"/>
      <x:c r="AN26" s="164">
        <x:f t="shared" si="9"/>
        <x:v>11</x:v>
      </x:c>
      <x:c r="AO26" s="157">
        <x:v>11</x:v>
      </x:c>
      <x:c r="AP26" s="158"/>
      <x:c r="AQ26" s="179"/>
      <x:c r="AR26" s="179"/>
      <x:c r="AS26" s="179"/>
      <x:c r="AT26" s="164">
        <x:f t="shared" si="10"/>
        <x:v>11</x:v>
      </x:c>
      <x:c r="AU26" s="157">
        <x:v>11</x:v>
      </x:c>
      <x:c r="AV26" s="158"/>
      <x:c r="AW26" s="179"/>
      <x:c r="AX26" s="179"/>
      <x:c r="AY26" s="179"/>
      <x:c r="AZ26" s="164">
        <x:f t="shared" si="11"/>
        <x:v>11</x:v>
      </x:c>
      <x:c r="BA26" s="157">
        <x:v>11</x:v>
      </x:c>
      <x:c r="BB26" s="158"/>
      <x:c r="BC26" s="179"/>
      <x:c r="BD26" s="179"/>
      <x:c r="BE26" s="179"/>
      <x:c r="BF26" s="164">
        <x:f t="shared" si="12"/>
        <x:v>11</x:v>
      </x:c>
      <x:c r="BG26" s="157">
        <x:v>11</x:v>
      </x:c>
      <x:c r="BH26" s="158"/>
      <x:c r="BI26" s="179"/>
      <x:c r="BJ26" s="179"/>
      <x:c r="BK26" s="179"/>
      <x:c r="BL26" s="164">
        <x:f t="shared" si="13"/>
        <x:v>11</x:v>
      </x:c>
      <x:c r="BM26" s="157">
        <x:v>11</x:v>
      </x:c>
      <x:c r="BN26" s="158"/>
      <x:c r="BO26" s="179"/>
      <x:c r="BP26" s="179"/>
      <x:c r="BQ26" s="179"/>
      <x:c r="BR26" s="164">
        <x:f t="shared" si="14"/>
        <x:v>11</x:v>
      </x:c>
      <x:c r="BS26" s="157">
        <x:v>11</x:v>
      </x:c>
      <x:c r="BT26" s="158"/>
      <x:c r="BU26" s="179"/>
      <x:c r="BV26" s="179"/>
      <x:c r="BW26" s="179"/>
      <x:c r="BX26" s="164">
        <x:f t="shared" si="15"/>
        <x:v>11</x:v>
      </x:c>
      <x:c r="BY26" s="157">
        <x:v>11</x:v>
      </x:c>
      <x:c r="BZ26" s="158"/>
      <x:c r="CA26" s="179"/>
      <x:c r="CB26" s="179"/>
      <x:c r="CC26" s="179"/>
      <x:c r="CD26" s="164">
        <x:f t="shared" si="16"/>
        <x:v>11</x:v>
      </x:c>
      <x:c r="CE26" s="163">
        <x:v>12</x:v>
      </x:c>
      <x:c r="CF26" s="158"/>
      <x:c r="CG26" s="179"/>
      <x:c r="CH26" s="179"/>
      <x:c r="CI26" s="179"/>
      <x:c r="CJ26" s="164">
        <x:f t="shared" si="17"/>
        <x:v>12</x:v>
      </x:c>
      <x:c r="CK26" s="163">
        <x:v>12</x:v>
      </x:c>
      <x:c r="CL26" s="158"/>
      <x:c r="CM26" s="179"/>
      <x:c r="CN26" s="179"/>
      <x:c r="CO26" s="179"/>
      <x:c r="CP26" s="164">
        <x:f t="shared" si="18"/>
        <x:v>12</x:v>
      </x:c>
      <x:c r="CQ26" s="163">
        <x:v>12</x:v>
      </x:c>
      <x:c r="CR26" s="158"/>
      <x:c r="CS26" s="165"/>
      <x:c r="CT26" s="165"/>
      <x:c r="CU26" s="165"/>
      <x:c r="CV26" s="164">
        <x:f t="shared" si="19"/>
        <x:v>12</x:v>
      </x:c>
      <x:c r="CW26" s="163">
        <x:v>12</x:v>
      </x:c>
      <x:c r="CX26" s="158"/>
      <x:c r="CY26" s="165"/>
      <x:c r="CZ26" s="165"/>
      <x:c r="DA26" s="165"/>
      <x:c r="DB26" s="164">
        <x:f t="shared" si="20"/>
        <x:v>12</x:v>
      </x:c>
      <x:c r="DC26" s="181"/>
      <x:c r="DD26" s="165"/>
      <x:c r="DE26" s="165"/>
      <x:c r="DF26" s="165"/>
      <x:c r="DG26" s="165"/>
      <x:c r="DH26" s="164">
        <x:f t="shared" si="21"/>
        <x:v>0</x:v>
      </x:c>
      <x:c r="DI26" s="178"/>
      <x:c r="DJ26" s="179"/>
      <x:c r="DK26" s="179"/>
      <x:c r="DL26" s="179"/>
      <x:c r="DM26" s="179"/>
      <x:c r="DN26" s="164">
        <x:f t="shared" si="22"/>
        <x:v>0</x:v>
      </x:c>
      <x:c r="DO26" s="181"/>
      <x:c r="DP26" s="165"/>
      <x:c r="DQ26" s="165"/>
      <x:c r="DR26" s="165"/>
      <x:c r="DS26" s="165"/>
      <x:c r="DT26" s="164">
        <x:f t="shared" si="23"/>
        <x:v>0</x:v>
      </x:c>
      <x:c r="DU26" s="181"/>
      <x:c r="DV26" s="165"/>
      <x:c r="DW26" s="165"/>
      <x:c r="DX26" s="165"/>
      <x:c r="DY26" s="165"/>
      <x:c r="DZ26" s="164">
        <x:f t="shared" si="24"/>
        <x:v>0</x:v>
      </x:c>
      <x:c r="EA26" s="178"/>
      <x:c r="EB26" s="179"/>
      <x:c r="EC26" s="179"/>
      <x:c r="ED26" s="179"/>
      <x:c r="EE26" s="179"/>
      <x:c r="EF26" s="164">
        <x:f t="shared" si="25"/>
        <x:v>0</x:v>
      </x:c>
      <x:c r="EG26" s="167">
        <x:f t="shared" si="26"/>
        <x:v>169</x:v>
      </x:c>
      <x:c r="EH26" s="168" t="s">
        <x:v>260</x:v>
      </x:c>
      <x:c r="EI26" s="169" t="s">
        <x:v>322</x:v>
      </x:c>
      <x:c r="EJ26" s="171"/>
    </x:row>
    <x:row r="27" ht="54.75" customHeight="1">
      <x:c r="A27" s="76">
        <x:v>15</x:v>
      </x:c>
      <x:c r="B27" s="143" t="s">
        <x:v>119</x:v>
      </x:c>
      <x:c r="C27" s="73" t="s">
        <x:v>120</x:v>
      </x:c>
      <x:c r="D27" s="73" t="s">
        <x:v>121</x:v>
      </x:c>
      <x:c r="E27" s="73" t="s">
        <x:v>122</x:v>
      </x:c>
      <x:c r="F27" s="119">
        <x:f t="shared" si="5"/>
        <x:v>16</x:v>
      </x:c>
      <x:c r="G27" s="138">
        <x:v>16</x:v>
      </x:c>
      <x:c r="H27" s="139"/>
      <x:c r="I27" s="139"/>
      <x:c r="J27" s="139"/>
      <x:c r="K27" s="139"/>
      <x:c r="L27" s="74">
        <x:v>0.5</x:v>
      </x:c>
      <x:c r="M27" s="73" t="s">
        <x:v>123</x:v>
      </x:c>
      <x:c r="N27" s="73" t="s">
        <x:v>124</x:v>
      </x:c>
      <x:c r="O27" s="75" t="s">
        <x:v>28</x:v>
      </x:c>
      <x:c r="P27" s="85" t="s">
        <x:v>29</x:v>
      </x:c>
      <x:c r="Q27" s="138">
        <x:v>16</x:v>
      </x:c>
      <x:c r="R27" s="139"/>
      <x:c r="S27" s="139"/>
      <x:c r="T27" s="139"/>
      <x:c r="U27" s="139"/>
      <x:c r="V27" s="123">
        <x:f t="shared" si="6"/>
        <x:v>16</x:v>
      </x:c>
      <x:c r="W27" s="138">
        <x:v>16</x:v>
      </x:c>
      <x:c r="X27" s="139"/>
      <x:c r="Y27" s="139"/>
      <x:c r="Z27" s="139"/>
      <x:c r="AA27" s="139"/>
      <x:c r="AB27" s="123">
        <x:f t="shared" si="7"/>
        <x:v>16</x:v>
      </x:c>
      <x:c r="AC27" s="138">
        <x:v>16</x:v>
      </x:c>
      <x:c r="AD27" s="139"/>
      <x:c r="AE27" s="139"/>
      <x:c r="AF27" s="139"/>
      <x:c r="AG27" s="139"/>
      <x:c r="AH27" s="123">
        <x:f t="shared" si="8"/>
        <x:v>16</x:v>
      </x:c>
      <x:c r="AI27" s="138">
        <x:v>16</x:v>
      </x:c>
      <x:c r="AJ27" s="139"/>
      <x:c r="AK27" s="139"/>
      <x:c r="AL27" s="139"/>
      <x:c r="AM27" s="139"/>
      <x:c r="AN27" s="123">
        <x:f t="shared" si="9"/>
        <x:v>16</x:v>
      </x:c>
      <x:c r="AO27" s="138">
        <x:v>16</x:v>
      </x:c>
      <x:c r="AP27" s="139"/>
      <x:c r="AQ27" s="139"/>
      <x:c r="AR27" s="139"/>
      <x:c r="AS27" s="139"/>
      <x:c r="AT27" s="123">
        <x:f t="shared" si="10"/>
        <x:v>16</x:v>
      </x:c>
      <x:c r="AU27" s="138">
        <x:v>16</x:v>
      </x:c>
      <x:c r="AV27" s="139"/>
      <x:c r="AW27" s="139"/>
      <x:c r="AX27" s="139"/>
      <x:c r="AY27" s="139"/>
      <x:c r="AZ27" s="123">
        <x:f t="shared" si="11"/>
        <x:v>16</x:v>
      </x:c>
      <x:c r="BA27" s="138">
        <x:v>16</x:v>
      </x:c>
      <x:c r="BB27" s="139"/>
      <x:c r="BC27" s="139"/>
      <x:c r="BD27" s="139"/>
      <x:c r="BE27" s="139"/>
      <x:c r="BF27" s="123">
        <x:f t="shared" si="12"/>
        <x:v>16</x:v>
      </x:c>
      <x:c r="BG27" s="138">
        <x:v>16</x:v>
      </x:c>
      <x:c r="BH27" s="139"/>
      <x:c r="BI27" s="139"/>
      <x:c r="BJ27" s="139"/>
      <x:c r="BK27" s="139"/>
      <x:c r="BL27" s="123">
        <x:f t="shared" si="13"/>
        <x:v>16</x:v>
      </x:c>
      <x:c r="BM27" s="138">
        <x:v>16</x:v>
      </x:c>
      <x:c r="BN27" s="139"/>
      <x:c r="BO27" s="139"/>
      <x:c r="BP27" s="139"/>
      <x:c r="BQ27" s="139"/>
      <x:c r="BR27" s="123">
        <x:f t="shared" si="14"/>
        <x:v>16</x:v>
      </x:c>
      <x:c r="BS27" s="138">
        <x:v>16</x:v>
      </x:c>
      <x:c r="BT27" s="139"/>
      <x:c r="BU27" s="139"/>
      <x:c r="BV27" s="139"/>
      <x:c r="BW27" s="139"/>
      <x:c r="BX27" s="123">
        <x:f t="shared" si="15"/>
        <x:v>16</x:v>
      </x:c>
      <x:c r="BY27" s="138">
        <x:v>16</x:v>
      </x:c>
      <x:c r="BZ27" s="139"/>
      <x:c r="CA27" s="139"/>
      <x:c r="CB27" s="139"/>
      <x:c r="CC27" s="139"/>
      <x:c r="CD27" s="123">
        <x:f t="shared" si="16"/>
        <x:v>16</x:v>
      </x:c>
      <x:c r="CE27" s="138">
        <x:v>16</x:v>
      </x:c>
      <x:c r="CF27" s="139"/>
      <x:c r="CG27" s="139"/>
      <x:c r="CH27" s="139"/>
      <x:c r="CI27" s="139"/>
      <x:c r="CJ27" s="123">
        <x:f t="shared" si="17"/>
        <x:v>16</x:v>
      </x:c>
      <x:c r="CK27" s="144"/>
      <x:c r="CL27" s="116"/>
      <x:c r="CM27" s="116"/>
      <x:c r="CN27" s="116"/>
      <x:c r="CO27" s="116"/>
      <x:c r="CP27" s="123">
        <x:f t="shared" si="18"/>
        <x:v>0</x:v>
      </x:c>
      <x:c r="CQ27" s="147"/>
      <x:c r="CR27" s="115"/>
      <x:c r="CS27" s="115"/>
      <x:c r="CT27" s="115"/>
      <x:c r="CU27" s="115"/>
      <x:c r="CV27" s="123">
        <x:f t="shared" si="19"/>
        <x:v>0</x:v>
      </x:c>
      <x:c r="CW27" s="147"/>
      <x:c r="CX27" s="115"/>
      <x:c r="CY27" s="115"/>
      <x:c r="CZ27" s="115"/>
      <x:c r="DA27" s="115"/>
      <x:c r="DB27" s="123">
        <x:f t="shared" si="20"/>
        <x:v>0</x:v>
      </x:c>
      <x:c r="DC27" s="147"/>
      <x:c r="DD27" s="115"/>
      <x:c r="DE27" s="115"/>
      <x:c r="DF27" s="115"/>
      <x:c r="DG27" s="115"/>
      <x:c r="DH27" s="123">
        <x:f t="shared" si="21"/>
        <x:v>0</x:v>
      </x:c>
      <x:c r="DI27" s="147"/>
      <x:c r="DJ27" s="115"/>
      <x:c r="DK27" s="115"/>
      <x:c r="DL27" s="115"/>
      <x:c r="DM27" s="115"/>
      <x:c r="DN27" s="123">
        <x:f t="shared" si="22"/>
        <x:v>0</x:v>
      </x:c>
      <x:c r="DO27" s="147"/>
      <x:c r="DP27" s="115"/>
      <x:c r="DQ27" s="115"/>
      <x:c r="DR27" s="115"/>
      <x:c r="DS27" s="115"/>
      <x:c r="DT27" s="123">
        <x:f t="shared" si="23"/>
        <x:v>0</x:v>
      </x:c>
      <x:c r="DU27" s="147"/>
      <x:c r="DV27" s="115"/>
      <x:c r="DW27" s="115"/>
      <x:c r="DX27" s="115"/>
      <x:c r="DY27" s="115"/>
      <x:c r="DZ27" s="123">
        <x:f t="shared" si="24"/>
        <x:v>0</x:v>
      </x:c>
      <x:c r="EA27" s="147"/>
      <x:c r="EB27" s="115"/>
      <x:c r="EC27" s="115"/>
      <x:c r="ED27" s="115"/>
      <x:c r="EE27" s="115"/>
      <x:c r="EF27" s="123">
        <x:f t="shared" si="25"/>
        <x:v>0</x:v>
      </x:c>
      <x:c r="EG27" s="146">
        <x:f t="shared" si="26"/>
        <x:v>192</x:v>
      </x:c>
      <x:c r="EH27" s="73" t="s">
        <x:v>37</x:v>
      </x:c>
      <x:c r="EI27" s="73" t="s">
        <x:v>125</x:v>
      </x:c>
      <x:c r="EJ27" s="142"/>
    </x:row>
    <x:row r="28" ht="54.75" customHeight="1">
      <x:c r="A28" s="76">
        <x:v>16</x:v>
      </x:c>
      <x:c r="B28" s="143" t="s">
        <x:v>126</x:v>
      </x:c>
      <x:c r="C28" s="73" t="s">
        <x:v>127</x:v>
      </x:c>
      <x:c r="D28" s="73" t="s">
        <x:v>128</x:v>
      </x:c>
      <x:c r="E28" s="73" t="s">
        <x:v>128</x:v>
      </x:c>
      <x:c r="F28" s="119">
        <x:f t="shared" si="5"/>
        <x:v>17</x:v>
      </x:c>
      <x:c r="G28" s="138">
        <x:v>17</x:v>
      </x:c>
      <x:c r="H28" s="139"/>
      <x:c r="I28" s="139"/>
      <x:c r="J28" s="139"/>
      <x:c r="K28" s="139"/>
      <x:c r="L28" s="74">
        <x:v>0.5</x:v>
      </x:c>
      <x:c r="M28" s="140" t="s">
        <x:v>129</x:v>
      </x:c>
      <x:c r="N28" s="73"/>
      <x:c r="O28" s="75" t="s">
        <x:v>28</x:v>
      </x:c>
      <x:c r="P28" s="85" t="s">
        <x:v>29</x:v>
      </x:c>
      <x:c r="Q28" s="138">
        <x:v>17</x:v>
      </x:c>
      <x:c r="R28" s="139"/>
      <x:c r="S28" s="139"/>
      <x:c r="T28" s="139"/>
      <x:c r="U28" s="139"/>
      <x:c r="V28" s="123">
        <x:f t="shared" si="6"/>
        <x:v>17</x:v>
      </x:c>
      <x:c r="W28" s="138">
        <x:v>17</x:v>
      </x:c>
      <x:c r="X28" s="139"/>
      <x:c r="Y28" s="139"/>
      <x:c r="Z28" s="139"/>
      <x:c r="AA28" s="139"/>
      <x:c r="AB28" s="123">
        <x:f t="shared" si="7"/>
        <x:v>17</x:v>
      </x:c>
      <x:c r="AC28" s="138">
        <x:v>17</x:v>
      </x:c>
      <x:c r="AD28" s="139"/>
      <x:c r="AE28" s="139"/>
      <x:c r="AF28" s="139"/>
      <x:c r="AG28" s="139"/>
      <x:c r="AH28" s="123">
        <x:f t="shared" si="8"/>
        <x:v>17</x:v>
      </x:c>
      <x:c r="AI28" s="138">
        <x:v>17</x:v>
      </x:c>
      <x:c r="AJ28" s="139"/>
      <x:c r="AK28" s="139"/>
      <x:c r="AL28" s="139"/>
      <x:c r="AM28" s="139"/>
      <x:c r="AN28" s="123">
        <x:f t="shared" si="9"/>
        <x:v>17</x:v>
      </x:c>
      <x:c r="AO28" s="138">
        <x:v>17</x:v>
      </x:c>
      <x:c r="AP28" s="139"/>
      <x:c r="AQ28" s="139"/>
      <x:c r="AR28" s="139"/>
      <x:c r="AS28" s="139"/>
      <x:c r="AT28" s="123">
        <x:f t="shared" si="10"/>
        <x:v>17</x:v>
      </x:c>
      <x:c r="AU28" s="138">
        <x:v>17</x:v>
      </x:c>
      <x:c r="AV28" s="139"/>
      <x:c r="AW28" s="139"/>
      <x:c r="AX28" s="139"/>
      <x:c r="AY28" s="139"/>
      <x:c r="AZ28" s="123">
        <x:f t="shared" si="11"/>
        <x:v>17</x:v>
      </x:c>
      <x:c r="BA28" s="138">
        <x:v>17</x:v>
      </x:c>
      <x:c r="BB28" s="139"/>
      <x:c r="BC28" s="139"/>
      <x:c r="BD28" s="139"/>
      <x:c r="BE28" s="139"/>
      <x:c r="BF28" s="123">
        <x:f t="shared" si="12"/>
        <x:v>17</x:v>
      </x:c>
      <x:c r="BG28" s="138">
        <x:v>17</x:v>
      </x:c>
      <x:c r="BH28" s="139"/>
      <x:c r="BI28" s="139"/>
      <x:c r="BJ28" s="139"/>
      <x:c r="BK28" s="139"/>
      <x:c r="BL28" s="123">
        <x:f t="shared" si="13"/>
        <x:v>17</x:v>
      </x:c>
      <x:c r="BM28" s="144"/>
      <x:c r="BN28" s="116"/>
      <x:c r="BO28" s="116"/>
      <x:c r="BP28" s="116"/>
      <x:c r="BQ28" s="116"/>
      <x:c r="BR28" s="123">
        <x:f t="shared" si="14"/>
        <x:v>0</x:v>
      </x:c>
      <x:c r="BS28" s="144"/>
      <x:c r="BT28" s="116"/>
      <x:c r="BU28" s="116"/>
      <x:c r="BV28" s="116"/>
      <x:c r="BW28" s="116"/>
      <x:c r="BX28" s="123">
        <x:f t="shared" si="15"/>
        <x:v>0</x:v>
      </x:c>
      <x:c r="BY28" s="144"/>
      <x:c r="BZ28" s="116"/>
      <x:c r="CA28" s="116"/>
      <x:c r="CB28" s="116"/>
      <x:c r="CC28" s="116"/>
      <x:c r="CD28" s="123">
        <x:f t="shared" si="16"/>
        <x:v>0</x:v>
      </x:c>
      <x:c r="CE28" s="144"/>
      <x:c r="CF28" s="116"/>
      <x:c r="CG28" s="116"/>
      <x:c r="CH28" s="116"/>
      <x:c r="CI28" s="116"/>
      <x:c r="CJ28" s="123">
        <x:f t="shared" si="17"/>
        <x:v>0</x:v>
      </x:c>
      <x:c r="CK28" s="144"/>
      <x:c r="CL28" s="116"/>
      <x:c r="CM28" s="116"/>
      <x:c r="CN28" s="116"/>
      <x:c r="CO28" s="116"/>
      <x:c r="CP28" s="123">
        <x:f t="shared" si="18"/>
        <x:v>0</x:v>
      </x:c>
      <x:c r="CQ28" s="144"/>
      <x:c r="CR28" s="116"/>
      <x:c r="CS28" s="116"/>
      <x:c r="CT28" s="116"/>
      <x:c r="CU28" s="116"/>
      <x:c r="CV28" s="123">
        <x:f t="shared" si="19"/>
        <x:v>0</x:v>
      </x:c>
      <x:c r="CW28" s="144"/>
      <x:c r="CX28" s="116"/>
      <x:c r="CY28" s="116"/>
      <x:c r="CZ28" s="116"/>
      <x:c r="DA28" s="116"/>
      <x:c r="DB28" s="123">
        <x:f t="shared" si="20"/>
        <x:v>0</x:v>
      </x:c>
      <x:c r="DC28" s="144"/>
      <x:c r="DD28" s="116"/>
      <x:c r="DE28" s="116"/>
      <x:c r="DF28" s="116"/>
      <x:c r="DG28" s="116"/>
      <x:c r="DH28" s="123">
        <x:f t="shared" si="21"/>
        <x:v>0</x:v>
      </x:c>
      <x:c r="DI28" s="144"/>
      <x:c r="DJ28" s="116"/>
      <x:c r="DK28" s="116"/>
      <x:c r="DL28" s="116"/>
      <x:c r="DM28" s="116"/>
      <x:c r="DN28" s="123">
        <x:f t="shared" si="22"/>
        <x:v>0</x:v>
      </x:c>
      <x:c r="DO28" s="144"/>
      <x:c r="DP28" s="116"/>
      <x:c r="DQ28" s="116"/>
      <x:c r="DR28" s="116"/>
      <x:c r="DS28" s="116"/>
      <x:c r="DT28" s="123">
        <x:f t="shared" si="23"/>
        <x:v>0</x:v>
      </x:c>
      <x:c r="DU28" s="144"/>
      <x:c r="DV28" s="116"/>
      <x:c r="DW28" s="116"/>
      <x:c r="DX28" s="116"/>
      <x:c r="DY28" s="116"/>
      <x:c r="DZ28" s="123">
        <x:f t="shared" si="24"/>
        <x:v>0</x:v>
      </x:c>
      <x:c r="EA28" s="144"/>
      <x:c r="EB28" s="116"/>
      <x:c r="EC28" s="116"/>
      <x:c r="ED28" s="116"/>
      <x:c r="EE28" s="116"/>
      <x:c r="EF28" s="123">
        <x:f t="shared" si="25"/>
        <x:v>0</x:v>
      </x:c>
      <x:c r="EG28" s="146">
        <x:f t="shared" si="26"/>
        <x:v>136</x:v>
      </x:c>
      <x:c r="EH28" s="73" t="s">
        <x:v>45</x:v>
      </x:c>
      <x:c r="EI28" s="73" t="s">
        <x:v>130</x:v>
      </x:c>
      <x:c r="EJ28" s="142"/>
    </x:row>
    <x:row r="29" ht="54.75" customHeight="1">
      <x:c r="A29" s="180" t="s">
        <x:v>323</x:v>
      </x:c>
      <x:c r="B29" s="112" t="s">
        <x:v>262</x:v>
      </x:c>
      <x:c r="C29" s="155" t="s">
        <x:v>263</x:v>
      </x:c>
      <x:c r="D29" s="155" t="s">
        <x:v>264</x:v>
      </x:c>
      <x:c r="E29" s="155" t="s">
        <x:v>265</x:v>
      </x:c>
      <x:c r="F29" s="156">
        <x:f t="shared" si="5"/>
        <x:v>3</x:v>
      </x:c>
      <x:c r="G29" s="157">
        <x:v>3</x:v>
      </x:c>
      <x:c r="H29" s="158"/>
      <x:c r="I29" s="158"/>
      <x:c r="J29" s="158"/>
      <x:c r="K29" s="158"/>
      <x:c r="L29" s="159">
        <x:v>0.48958333333333331</x:v>
      </x:c>
      <x:c r="M29" s="176" t="s">
        <x:v>268</x:v>
      </x:c>
      <x:c r="N29" s="155"/>
      <x:c r="O29" s="160" t="s">
        <x:v>28</x:v>
      </x:c>
      <x:c r="P29" s="161" t="s">
        <x:v>60</x:v>
      </x:c>
      <x:c r="Q29" s="157">
        <x:v>3</x:v>
      </x:c>
      <x:c r="R29" s="158"/>
      <x:c r="S29" s="179"/>
      <x:c r="T29" s="179"/>
      <x:c r="U29" s="179"/>
      <x:c r="V29" s="164">
        <x:f t="shared" si="6"/>
        <x:v>3</x:v>
      </x:c>
      <x:c r="W29" s="157">
        <x:v>3</x:v>
      </x:c>
      <x:c r="X29" s="158"/>
      <x:c r="Y29" s="179"/>
      <x:c r="Z29" s="179"/>
      <x:c r="AA29" s="179"/>
      <x:c r="AB29" s="164">
        <x:f t="shared" si="7"/>
        <x:v>3</x:v>
      </x:c>
      <x:c r="AC29" s="157">
        <x:v>3</x:v>
      </x:c>
      <x:c r="AD29" s="158"/>
      <x:c r="AE29" s="179"/>
      <x:c r="AF29" s="179"/>
      <x:c r="AG29" s="179"/>
      <x:c r="AH29" s="164">
        <x:f t="shared" si="8"/>
        <x:v>3</x:v>
      </x:c>
      <x:c r="AI29" s="157">
        <x:v>3</x:v>
      </x:c>
      <x:c r="AJ29" s="158"/>
      <x:c r="AK29" s="179"/>
      <x:c r="AL29" s="179"/>
      <x:c r="AM29" s="179"/>
      <x:c r="AN29" s="164">
        <x:f t="shared" si="9"/>
        <x:v>3</x:v>
      </x:c>
      <x:c r="AO29" s="157">
        <x:v>3</x:v>
      </x:c>
      <x:c r="AP29" s="158"/>
      <x:c r="AQ29" s="179"/>
      <x:c r="AR29" s="179"/>
      <x:c r="AS29" s="179"/>
      <x:c r="AT29" s="164">
        <x:f t="shared" si="10"/>
        <x:v>3</x:v>
      </x:c>
      <x:c r="AU29" s="157">
        <x:v>3</x:v>
      </x:c>
      <x:c r="AV29" s="158"/>
      <x:c r="AW29" s="179"/>
      <x:c r="AX29" s="179"/>
      <x:c r="AY29" s="179"/>
      <x:c r="AZ29" s="164">
        <x:f t="shared" si="11"/>
        <x:v>3</x:v>
      </x:c>
      <x:c r="BA29" s="157">
        <x:v>3</x:v>
      </x:c>
      <x:c r="BB29" s="158"/>
      <x:c r="BC29" s="179"/>
      <x:c r="BD29" s="179"/>
      <x:c r="BE29" s="179"/>
      <x:c r="BF29" s="164">
        <x:f t="shared" si="12"/>
        <x:v>3</x:v>
      </x:c>
      <x:c r="BG29" s="157">
        <x:v>3</x:v>
      </x:c>
      <x:c r="BH29" s="158"/>
      <x:c r="BI29" s="179"/>
      <x:c r="BJ29" s="179"/>
      <x:c r="BK29" s="179"/>
      <x:c r="BL29" s="164">
        <x:f t="shared" si="13"/>
        <x:v>3</x:v>
      </x:c>
      <x:c r="BM29" s="182"/>
      <x:c r="BN29" s="179"/>
      <x:c r="BO29" s="179"/>
      <x:c r="BP29" s="179"/>
      <x:c r="BQ29" s="179"/>
      <x:c r="BR29" s="164">
        <x:f t="shared" si="14"/>
        <x:v>0</x:v>
      </x:c>
      <x:c r="BS29" s="182"/>
      <x:c r="BT29" s="179"/>
      <x:c r="BU29" s="179"/>
      <x:c r="BV29" s="179"/>
      <x:c r="BW29" s="179"/>
      <x:c r="BX29" s="164">
        <x:f t="shared" si="15"/>
        <x:v>0</x:v>
      </x:c>
      <x:c r="BY29" s="182"/>
      <x:c r="BZ29" s="179"/>
      <x:c r="CA29" s="179"/>
      <x:c r="CB29" s="179"/>
      <x:c r="CC29" s="179"/>
      <x:c r="CD29" s="164">
        <x:f t="shared" si="16"/>
        <x:v>0</x:v>
      </x:c>
      <x:c r="CE29" s="182"/>
      <x:c r="CF29" s="179"/>
      <x:c r="CG29" s="179"/>
      <x:c r="CH29" s="179"/>
      <x:c r="CI29" s="179"/>
      <x:c r="CJ29" s="164">
        <x:f t="shared" si="17"/>
        <x:v>0</x:v>
      </x:c>
      <x:c r="CK29" s="178"/>
      <x:c r="CL29" s="179"/>
      <x:c r="CM29" s="179"/>
      <x:c r="CN29" s="179"/>
      <x:c r="CO29" s="179"/>
      <x:c r="CP29" s="164">
        <x:f t="shared" si="18"/>
        <x:v>0</x:v>
      </x:c>
      <x:c r="CQ29" s="178"/>
      <x:c r="CR29" s="179"/>
      <x:c r="CS29" s="179"/>
      <x:c r="CT29" s="179"/>
      <x:c r="CU29" s="179"/>
      <x:c r="CV29" s="164">
        <x:f t="shared" si="19"/>
        <x:v>0</x:v>
      </x:c>
      <x:c r="CW29" s="178"/>
      <x:c r="CX29" s="179"/>
      <x:c r="CY29" s="179"/>
      <x:c r="CZ29" s="179"/>
      <x:c r="DA29" s="179"/>
      <x:c r="DB29" s="164">
        <x:f t="shared" si="20"/>
        <x:v>0</x:v>
      </x:c>
      <x:c r="DC29" s="178"/>
      <x:c r="DD29" s="179"/>
      <x:c r="DE29" s="179"/>
      <x:c r="DF29" s="179"/>
      <x:c r="DG29" s="179"/>
      <x:c r="DH29" s="164">
        <x:f t="shared" si="21"/>
        <x:v>0</x:v>
      </x:c>
      <x:c r="DI29" s="178"/>
      <x:c r="DJ29" s="179"/>
      <x:c r="DK29" s="179"/>
      <x:c r="DL29" s="179"/>
      <x:c r="DM29" s="179"/>
      <x:c r="DN29" s="164">
        <x:f t="shared" si="22"/>
        <x:v>0</x:v>
      </x:c>
      <x:c r="DO29" s="178"/>
      <x:c r="DP29" s="179"/>
      <x:c r="DQ29" s="179"/>
      <x:c r="DR29" s="179"/>
      <x:c r="DS29" s="179"/>
      <x:c r="DT29" s="164">
        <x:f t="shared" si="23"/>
        <x:v>0</x:v>
      </x:c>
      <x:c r="DU29" s="178"/>
      <x:c r="DV29" s="179"/>
      <x:c r="DW29" s="179"/>
      <x:c r="DX29" s="179"/>
      <x:c r="DY29" s="179"/>
      <x:c r="DZ29" s="164">
        <x:f t="shared" si="24"/>
        <x:v>0</x:v>
      </x:c>
      <x:c r="EA29" s="178"/>
      <x:c r="EB29" s="179"/>
      <x:c r="EC29" s="179"/>
      <x:c r="ED29" s="179"/>
      <x:c r="EE29" s="179"/>
      <x:c r="EF29" s="164">
        <x:f t="shared" si="25"/>
        <x:v>0</x:v>
      </x:c>
      <x:c r="EG29" s="167">
        <x:f t="shared" si="26"/>
        <x:v>24</x:v>
      </x:c>
      <x:c r="EH29" s="168" t="s">
        <x:v>269</x:v>
      </x:c>
      <x:c r="EI29" s="169" t="s">
        <x:v>324</x:v>
      </x:c>
      <x:c r="EJ29" s="171"/>
    </x:row>
    <x:row r="30" ht="54.75" customHeight="1">
      <x:c r="A30" s="76">
        <x:v>17</x:v>
      </x:c>
      <x:c r="B30" s="143" t="s">
        <x:v>131</x:v>
      </x:c>
      <x:c r="C30" s="73" t="s">
        <x:v>132</x:v>
      </x:c>
      <x:c r="D30" s="73" t="s">
        <x:v>133</x:v>
      </x:c>
      <x:c r="E30" s="73" t="s">
        <x:v>134</x:v>
      </x:c>
      <x:c r="F30" s="119">
        <x:f t="shared" si="5"/>
        <x:v>16</x:v>
      </x:c>
      <x:c r="G30" s="138">
        <x:v>16</x:v>
      </x:c>
      <x:c r="H30" s="139"/>
      <x:c r="I30" s="139"/>
      <x:c r="J30" s="139"/>
      <x:c r="K30" s="139"/>
      <x:c r="L30" s="74">
        <x:v>0.47916666666666669</x:v>
      </x:c>
      <x:c r="M30" s="73" t="s">
        <x:v>135</x:v>
      </x:c>
      <x:c r="N30" s="73"/>
      <x:c r="O30" s="75" t="s">
        <x:v>99</x:v>
      </x:c>
      <x:c r="P30" s="85" t="s">
        <x:v>29</x:v>
      </x:c>
      <x:c r="Q30" s="138">
        <x:v>16</x:v>
      </x:c>
      <x:c r="R30" s="139"/>
      <x:c r="S30" s="139"/>
      <x:c r="T30" s="139"/>
      <x:c r="U30" s="139"/>
      <x:c r="V30" s="123">
        <x:f t="shared" si="6"/>
        <x:v>16</x:v>
      </x:c>
      <x:c r="W30" s="138">
        <x:v>16</x:v>
      </x:c>
      <x:c r="X30" s="139"/>
      <x:c r="Y30" s="139"/>
      <x:c r="Z30" s="139"/>
      <x:c r="AA30" s="139"/>
      <x:c r="AB30" s="123">
        <x:f t="shared" si="7"/>
        <x:v>16</x:v>
      </x:c>
      <x:c r="AC30" s="138">
        <x:v>16</x:v>
      </x:c>
      <x:c r="AD30" s="139"/>
      <x:c r="AE30" s="139"/>
      <x:c r="AF30" s="139"/>
      <x:c r="AG30" s="139"/>
      <x:c r="AH30" s="123">
        <x:f t="shared" si="8"/>
        <x:v>16</x:v>
      </x:c>
      <x:c r="AI30" s="138">
        <x:v>16</x:v>
      </x:c>
      <x:c r="AJ30" s="139"/>
      <x:c r="AK30" s="139"/>
      <x:c r="AL30" s="139"/>
      <x:c r="AM30" s="139"/>
      <x:c r="AN30" s="123">
        <x:f t="shared" si="9"/>
        <x:v>16</x:v>
      </x:c>
      <x:c r="AO30" s="138">
        <x:v>16</x:v>
      </x:c>
      <x:c r="AP30" s="139"/>
      <x:c r="AQ30" s="139"/>
      <x:c r="AR30" s="139"/>
      <x:c r="AS30" s="139"/>
      <x:c r="AT30" s="123">
        <x:f t="shared" si="10"/>
        <x:v>16</x:v>
      </x:c>
      <x:c r="AU30" s="138">
        <x:v>16</x:v>
      </x:c>
      <x:c r="AV30" s="139"/>
      <x:c r="AW30" s="139"/>
      <x:c r="AX30" s="139"/>
      <x:c r="AY30" s="139"/>
      <x:c r="AZ30" s="123">
        <x:f t="shared" si="11"/>
        <x:v>16</x:v>
      </x:c>
      <x:c r="BA30" s="138">
        <x:v>16</x:v>
      </x:c>
      <x:c r="BB30" s="139"/>
      <x:c r="BC30" s="139"/>
      <x:c r="BD30" s="139"/>
      <x:c r="BE30" s="139"/>
      <x:c r="BF30" s="123">
        <x:f t="shared" si="12"/>
        <x:v>16</x:v>
      </x:c>
      <x:c r="BG30" s="138">
        <x:v>16</x:v>
      </x:c>
      <x:c r="BH30" s="139"/>
      <x:c r="BI30" s="139"/>
      <x:c r="BJ30" s="139"/>
      <x:c r="BK30" s="139"/>
      <x:c r="BL30" s="123">
        <x:f t="shared" si="13"/>
        <x:v>16</x:v>
      </x:c>
      <x:c r="BM30" s="138">
        <x:v>16</x:v>
      </x:c>
      <x:c r="BN30" s="139"/>
      <x:c r="BO30" s="139"/>
      <x:c r="BP30" s="139"/>
      <x:c r="BQ30" s="139"/>
      <x:c r="BR30" s="123">
        <x:f t="shared" si="14"/>
        <x:v>16</x:v>
      </x:c>
      <x:c r="BS30" s="138">
        <x:v>16</x:v>
      </x:c>
      <x:c r="BT30" s="139"/>
      <x:c r="BU30" s="139"/>
      <x:c r="BV30" s="139"/>
      <x:c r="BW30" s="139"/>
      <x:c r="BX30" s="123">
        <x:f t="shared" si="15"/>
        <x:v>16</x:v>
      </x:c>
      <x:c r="BY30" s="138">
        <x:v>16</x:v>
      </x:c>
      <x:c r="BZ30" s="139"/>
      <x:c r="CA30" s="139"/>
      <x:c r="CB30" s="139"/>
      <x:c r="CC30" s="139"/>
      <x:c r="CD30" s="123">
        <x:f t="shared" si="16"/>
        <x:v>16</x:v>
      </x:c>
      <x:c r="CE30" s="138">
        <x:v>16</x:v>
      </x:c>
      <x:c r="CF30" s="139"/>
      <x:c r="CG30" s="139"/>
      <x:c r="CH30" s="139"/>
      <x:c r="CI30" s="139"/>
      <x:c r="CJ30" s="123">
        <x:f t="shared" si="17"/>
        <x:v>16</x:v>
      </x:c>
      <x:c r="CK30" s="138">
        <x:v>16</x:v>
      </x:c>
      <x:c r="CL30" s="139"/>
      <x:c r="CM30" s="139"/>
      <x:c r="CN30" s="139"/>
      <x:c r="CO30" s="139"/>
      <x:c r="CP30" s="123">
        <x:f t="shared" si="18"/>
        <x:v>16</x:v>
      </x:c>
      <x:c r="CQ30" s="138">
        <x:v>16</x:v>
      </x:c>
      <x:c r="CR30" s="139"/>
      <x:c r="CS30" s="139"/>
      <x:c r="CT30" s="139"/>
      <x:c r="CU30" s="139"/>
      <x:c r="CV30" s="123">
        <x:f t="shared" si="19"/>
        <x:v>16</x:v>
      </x:c>
      <x:c r="CW30" s="127"/>
      <x:c r="CX30" s="115"/>
      <x:c r="CY30" s="115"/>
      <x:c r="CZ30" s="115"/>
      <x:c r="DA30" s="115"/>
      <x:c r="DB30" s="123">
        <x:f t="shared" si="20"/>
        <x:v>0</x:v>
      </x:c>
      <x:c r="DC30" s="127"/>
      <x:c r="DD30" s="115"/>
      <x:c r="DE30" s="115"/>
      <x:c r="DF30" s="115"/>
      <x:c r="DG30" s="115"/>
      <x:c r="DH30" s="123">
        <x:f t="shared" si="21"/>
        <x:v>0</x:v>
      </x:c>
      <x:c r="DI30" s="127"/>
      <x:c r="DJ30" s="115"/>
      <x:c r="DK30" s="115"/>
      <x:c r="DL30" s="115"/>
      <x:c r="DM30" s="115"/>
      <x:c r="DN30" s="123">
        <x:f t="shared" si="22"/>
        <x:v>0</x:v>
      </x:c>
      <x:c r="DO30" s="127"/>
      <x:c r="DP30" s="115"/>
      <x:c r="DQ30" s="115"/>
      <x:c r="DR30" s="115"/>
      <x:c r="DS30" s="115"/>
      <x:c r="DT30" s="123">
        <x:f t="shared" si="23"/>
        <x:v>0</x:v>
      </x:c>
      <x:c r="DU30" s="127"/>
      <x:c r="DV30" s="115"/>
      <x:c r="DW30" s="115"/>
      <x:c r="DX30" s="115"/>
      <x:c r="DY30" s="115"/>
      <x:c r="DZ30" s="123">
        <x:f t="shared" si="24"/>
        <x:v>0</x:v>
      </x:c>
      <x:c r="EA30" s="127"/>
      <x:c r="EB30" s="115"/>
      <x:c r="EC30" s="115"/>
      <x:c r="ED30" s="115"/>
      <x:c r="EE30" s="115"/>
      <x:c r="EF30" s="123">
        <x:f t="shared" si="25"/>
        <x:v>0</x:v>
      </x:c>
      <x:c r="EG30" s="146">
        <x:f t="shared" si="26"/>
        <x:v>224</x:v>
      </x:c>
      <x:c r="EH30" s="73" t="s">
        <x:v>37</x:v>
      </x:c>
      <x:c r="EI30" s="73" t="s">
        <x:v>136</x:v>
      </x:c>
      <x:c r="EJ30" s="142"/>
    </x:row>
    <x:row r="31" ht="54.75" customHeight="1">
      <x:c r="A31" s="76">
        <x:v>18</x:v>
      </x:c>
      <x:c r="B31" s="143" t="s">
        <x:v>137</x:v>
      </x:c>
      <x:c r="C31" s="73" t="s">
        <x:v>138</x:v>
      </x:c>
      <x:c r="D31" s="73" t="s">
        <x:v>139</x:v>
      </x:c>
      <x:c r="E31" s="73" t="s">
        <x:v>139</x:v>
      </x:c>
      <x:c r="F31" s="119">
        <x:f t="shared" si="5"/>
        <x:v>41</x:v>
      </x:c>
      <x:c r="G31" s="138">
        <x:v>21</x:v>
      </x:c>
      <x:c r="H31" s="139">
        <x:v>20</x:v>
      </x:c>
      <x:c r="I31" s="139"/>
      <x:c r="J31" s="139"/>
      <x:c r="K31" s="139"/>
      <x:c r="L31" s="74">
        <x:v>0.5</x:v>
      </x:c>
      <x:c r="M31" s="73" t="s">
        <x:v>140</x:v>
      </x:c>
      <x:c r="N31" s="73" t="s">
        <x:v>43</x:v>
      </x:c>
      <x:c r="O31" s="75" t="s">
        <x:v>141</x:v>
      </x:c>
      <x:c r="P31" s="85" t="s">
        <x:v>29</x:v>
      </x:c>
      <x:c r="Q31" s="138">
        <x:v>21</x:v>
      </x:c>
      <x:c r="R31" s="139">
        <x:v>20</x:v>
      </x:c>
      <x:c r="S31" s="139"/>
      <x:c r="T31" s="139"/>
      <x:c r="U31" s="139"/>
      <x:c r="V31" s="123">
        <x:f t="shared" si="6"/>
        <x:v>41</x:v>
      </x:c>
      <x:c r="W31" s="138">
        <x:v>21</x:v>
      </x:c>
      <x:c r="X31" s="139">
        <x:v>20</x:v>
      </x:c>
      <x:c r="Y31" s="139"/>
      <x:c r="Z31" s="139"/>
      <x:c r="AA31" s="139"/>
      <x:c r="AB31" s="123">
        <x:f t="shared" si="7"/>
        <x:v>41</x:v>
      </x:c>
      <x:c r="AC31" s="138">
        <x:v>21</x:v>
      </x:c>
      <x:c r="AD31" s="139">
        <x:v>20</x:v>
      </x:c>
      <x:c r="AE31" s="139"/>
      <x:c r="AF31" s="139"/>
      <x:c r="AG31" s="139"/>
      <x:c r="AH31" s="123">
        <x:f t="shared" si="8"/>
        <x:v>41</x:v>
      </x:c>
      <x:c r="AI31" s="138">
        <x:v>21</x:v>
      </x:c>
      <x:c r="AJ31" s="139">
        <x:v>20</x:v>
      </x:c>
      <x:c r="AK31" s="139"/>
      <x:c r="AL31" s="139"/>
      <x:c r="AM31" s="139"/>
      <x:c r="AN31" s="123">
        <x:f t="shared" si="9"/>
        <x:v>41</x:v>
      </x:c>
      <x:c r="AO31" s="138">
        <x:v>21</x:v>
      </x:c>
      <x:c r="AP31" s="139">
        <x:v>20</x:v>
      </x:c>
      <x:c r="AQ31" s="139"/>
      <x:c r="AR31" s="139"/>
      <x:c r="AS31" s="139"/>
      <x:c r="AT31" s="123">
        <x:f t="shared" si="10"/>
        <x:v>41</x:v>
      </x:c>
      <x:c r="AU31" s="138">
        <x:v>21</x:v>
      </x:c>
      <x:c r="AV31" s="139">
        <x:v>20</x:v>
      </x:c>
      <x:c r="AW31" s="139"/>
      <x:c r="AX31" s="139"/>
      <x:c r="AY31" s="139"/>
      <x:c r="AZ31" s="123">
        <x:f t="shared" si="11"/>
        <x:v>41</x:v>
      </x:c>
      <x:c r="BA31" s="138">
        <x:v>21</x:v>
      </x:c>
      <x:c r="BB31" s="139">
        <x:v>20</x:v>
      </x:c>
      <x:c r="BC31" s="139"/>
      <x:c r="BD31" s="139"/>
      <x:c r="BE31" s="139"/>
      <x:c r="BF31" s="123">
        <x:f t="shared" si="12"/>
        <x:v>41</x:v>
      </x:c>
      <x:c r="BG31" s="138">
        <x:v>21</x:v>
      </x:c>
      <x:c r="BH31" s="139">
        <x:v>20</x:v>
      </x:c>
      <x:c r="BI31" s="139"/>
      <x:c r="BJ31" s="139"/>
      <x:c r="BK31" s="139"/>
      <x:c r="BL31" s="123">
        <x:f t="shared" si="13"/>
        <x:v>41</x:v>
      </x:c>
      <x:c r="BM31" s="138">
        <x:v>21</x:v>
      </x:c>
      <x:c r="BN31" s="139">
        <x:v>20</x:v>
      </x:c>
      <x:c r="BO31" s="139"/>
      <x:c r="BP31" s="139"/>
      <x:c r="BQ31" s="139"/>
      <x:c r="BR31" s="123">
        <x:f t="shared" si="14"/>
        <x:v>41</x:v>
      </x:c>
      <x:c r="BS31" s="138">
        <x:v>21</x:v>
      </x:c>
      <x:c r="BT31" s="139">
        <x:v>20</x:v>
      </x:c>
      <x:c r="BU31" s="139"/>
      <x:c r="BV31" s="139"/>
      <x:c r="BW31" s="139"/>
      <x:c r="BX31" s="123">
        <x:f t="shared" si="15"/>
        <x:v>41</x:v>
      </x:c>
      <x:c r="BY31" s="138">
        <x:v>21</x:v>
      </x:c>
      <x:c r="BZ31" s="139">
        <x:v>20</x:v>
      </x:c>
      <x:c r="CA31" s="139"/>
      <x:c r="CB31" s="139"/>
      <x:c r="CC31" s="139"/>
      <x:c r="CD31" s="123">
        <x:f t="shared" si="16"/>
        <x:v>41</x:v>
      </x:c>
      <x:c r="CE31" s="138">
        <x:v>21</x:v>
      </x:c>
      <x:c r="CF31" s="139">
        <x:v>20</x:v>
      </x:c>
      <x:c r="CG31" s="139"/>
      <x:c r="CH31" s="139"/>
      <x:c r="CI31" s="139"/>
      <x:c r="CJ31" s="123">
        <x:f t="shared" si="17"/>
        <x:v>41</x:v>
      </x:c>
      <x:c r="CK31" s="138">
        <x:v>21</x:v>
      </x:c>
      <x:c r="CL31" s="139">
        <x:v>20</x:v>
      </x:c>
      <x:c r="CM31" s="139"/>
      <x:c r="CN31" s="139"/>
      <x:c r="CO31" s="139"/>
      <x:c r="CP31" s="123">
        <x:f t="shared" si="18"/>
        <x:v>41</x:v>
      </x:c>
      <x:c r="CQ31" s="138">
        <x:v>21</x:v>
      </x:c>
      <x:c r="CR31" s="139">
        <x:v>20</x:v>
      </x:c>
      <x:c r="CS31" s="139"/>
      <x:c r="CT31" s="139"/>
      <x:c r="CU31" s="139"/>
      <x:c r="CV31" s="123">
        <x:f t="shared" si="19"/>
        <x:v>41</x:v>
      </x:c>
      <x:c r="CW31" s="138">
        <x:v>21</x:v>
      </x:c>
      <x:c r="CX31" s="139">
        <x:v>20</x:v>
      </x:c>
      <x:c r="CY31" s="139"/>
      <x:c r="CZ31" s="139"/>
      <x:c r="DA31" s="139"/>
      <x:c r="DB31" s="123">
        <x:f t="shared" si="20"/>
        <x:v>41</x:v>
      </x:c>
      <x:c r="DC31" s="138">
        <x:v>21</x:v>
      </x:c>
      <x:c r="DD31" s="139">
        <x:v>20</x:v>
      </x:c>
      <x:c r="DE31" s="139"/>
      <x:c r="DF31" s="139"/>
      <x:c r="DG31" s="139"/>
      <x:c r="DH31" s="123">
        <x:f t="shared" si="21"/>
        <x:v>41</x:v>
      </x:c>
      <x:c r="DI31" s="127"/>
      <x:c r="DJ31" s="115"/>
      <x:c r="DK31" s="115"/>
      <x:c r="DL31" s="115"/>
      <x:c r="DM31" s="115"/>
      <x:c r="DN31" s="123">
        <x:f t="shared" si="22"/>
        <x:v>0</x:v>
      </x:c>
      <x:c r="DO31" s="144"/>
      <x:c r="DP31" s="116"/>
      <x:c r="DQ31" s="116"/>
      <x:c r="DR31" s="116"/>
      <x:c r="DS31" s="116"/>
      <x:c r="DT31" s="123">
        <x:f t="shared" si="23"/>
        <x:v>0</x:v>
      </x:c>
      <x:c r="DU31" s="144"/>
      <x:c r="DV31" s="116"/>
      <x:c r="DW31" s="116"/>
      <x:c r="DX31" s="116"/>
      <x:c r="DY31" s="116"/>
      <x:c r="DZ31" s="123">
        <x:f t="shared" si="24"/>
        <x:v>0</x:v>
      </x:c>
      <x:c r="EA31" s="144"/>
      <x:c r="EB31" s="116"/>
      <x:c r="EC31" s="116"/>
      <x:c r="ED31" s="116"/>
      <x:c r="EE31" s="116"/>
      <x:c r="EF31" s="123">
        <x:f t="shared" si="25"/>
        <x:v>0</x:v>
      </x:c>
      <x:c r="EG31" s="146">
        <x:f t="shared" si="26"/>
        <x:v>656</x:v>
      </x:c>
      <x:c r="EH31" s="73" t="s">
        <x:v>37</x:v>
      </x:c>
      <x:c r="EI31" s="73" t="s">
        <x:v>142</x:v>
      </x:c>
      <x:c r="EJ31" s="142"/>
    </x:row>
    <x:row r="32" ht="54.75" customHeight="1">
      <x:c r="A32" s="76">
        <x:v>19</x:v>
      </x:c>
      <x:c r="B32" s="143" t="s">
        <x:v>143</x:v>
      </x:c>
      <x:c r="C32" s="73" t="s">
        <x:v>144</x:v>
      </x:c>
      <x:c r="D32" s="73" t="s">
        <x:v>145</x:v>
      </x:c>
      <x:c r="E32" s="73" t="s">
        <x:v>146</x:v>
      </x:c>
      <x:c r="F32" s="119">
        <x:f t="shared" si="5"/>
        <x:v>14</x:v>
      </x:c>
      <x:c r="G32" s="138">
        <x:v>14</x:v>
      </x:c>
      <x:c r="H32" s="139"/>
      <x:c r="I32" s="139"/>
      <x:c r="J32" s="139"/>
      <x:c r="K32" s="139"/>
      <x:c r="L32" s="74">
        <x:v>0.47222222222222221</x:v>
      </x:c>
      <x:c r="M32" s="73" t="s">
        <x:v>147</x:v>
      </x:c>
      <x:c r="N32" s="73" t="s">
        <x:v>148</x:v>
      </x:c>
      <x:c r="O32" s="75" t="s">
        <x:v>67</x:v>
      </x:c>
      <x:c r="P32" s="85" t="s">
        <x:v>29</x:v>
      </x:c>
      <x:c r="Q32" s="138">
        <x:v>14</x:v>
      </x:c>
      <x:c r="R32" s="139"/>
      <x:c r="S32" s="139"/>
      <x:c r="T32" s="139"/>
      <x:c r="U32" s="139"/>
      <x:c r="V32" s="123">
        <x:f t="shared" si="6"/>
        <x:v>14</x:v>
      </x:c>
      <x:c r="W32" s="138">
        <x:v>14</x:v>
      </x:c>
      <x:c r="X32" s="139"/>
      <x:c r="Y32" s="139"/>
      <x:c r="Z32" s="139"/>
      <x:c r="AA32" s="139"/>
      <x:c r="AB32" s="123">
        <x:f t="shared" si="7"/>
        <x:v>14</x:v>
      </x:c>
      <x:c r="AC32" s="138">
        <x:v>14</x:v>
      </x:c>
      <x:c r="AD32" s="139"/>
      <x:c r="AE32" s="139"/>
      <x:c r="AF32" s="139"/>
      <x:c r="AG32" s="139"/>
      <x:c r="AH32" s="123">
        <x:f t="shared" si="8"/>
        <x:v>14</x:v>
      </x:c>
      <x:c r="AI32" s="138">
        <x:v>14</x:v>
      </x:c>
      <x:c r="AJ32" s="139"/>
      <x:c r="AK32" s="139"/>
      <x:c r="AL32" s="139"/>
      <x:c r="AM32" s="139"/>
      <x:c r="AN32" s="123">
        <x:f t="shared" si="9"/>
        <x:v>14</x:v>
      </x:c>
      <x:c r="AO32" s="138">
        <x:v>14</x:v>
      </x:c>
      <x:c r="AP32" s="139"/>
      <x:c r="AQ32" s="139"/>
      <x:c r="AR32" s="139"/>
      <x:c r="AS32" s="139"/>
      <x:c r="AT32" s="123">
        <x:f t="shared" si="10"/>
        <x:v>14</x:v>
      </x:c>
      <x:c r="AU32" s="138">
        <x:v>14</x:v>
      </x:c>
      <x:c r="AV32" s="139"/>
      <x:c r="AW32" s="139"/>
      <x:c r="AX32" s="139"/>
      <x:c r="AY32" s="139"/>
      <x:c r="AZ32" s="123">
        <x:f t="shared" si="11"/>
        <x:v>14</x:v>
      </x:c>
      <x:c r="BA32" s="138">
        <x:v>14</x:v>
      </x:c>
      <x:c r="BB32" s="139"/>
      <x:c r="BC32" s="139"/>
      <x:c r="BD32" s="139"/>
      <x:c r="BE32" s="139"/>
      <x:c r="BF32" s="123">
        <x:f t="shared" si="12"/>
        <x:v>14</x:v>
      </x:c>
      <x:c r="BG32" s="138"/>
      <x:c r="BH32" s="139"/>
      <x:c r="BI32" s="139"/>
      <x:c r="BJ32" s="139"/>
      <x:c r="BK32" s="139"/>
      <x:c r="BL32" s="123">
        <x:f t="shared" si="13"/>
        <x:v>0</x:v>
      </x:c>
      <x:c r="BM32" s="138">
        <x:v>14</x:v>
      </x:c>
      <x:c r="BN32" s="139"/>
      <x:c r="BO32" s="139"/>
      <x:c r="BP32" s="139"/>
      <x:c r="BQ32" s="139"/>
      <x:c r="BR32" s="123">
        <x:f t="shared" si="14"/>
        <x:v>14</x:v>
      </x:c>
      <x:c r="BS32" s="138">
        <x:v>14</x:v>
      </x:c>
      <x:c r="BT32" s="139"/>
      <x:c r="BU32" s="139"/>
      <x:c r="BV32" s="139"/>
      <x:c r="BW32" s="139"/>
      <x:c r="BX32" s="123">
        <x:f t="shared" si="15"/>
        <x:v>14</x:v>
      </x:c>
      <x:c r="BY32" s="138">
        <x:v>14</x:v>
      </x:c>
      <x:c r="BZ32" s="139"/>
      <x:c r="CA32" s="139"/>
      <x:c r="CB32" s="139"/>
      <x:c r="CC32" s="139"/>
      <x:c r="CD32" s="123">
        <x:f t="shared" si="16"/>
        <x:v>14</x:v>
      </x:c>
      <x:c r="CE32" s="138">
        <x:v>14</x:v>
      </x:c>
      <x:c r="CF32" s="139"/>
      <x:c r="CG32" s="139"/>
      <x:c r="CH32" s="139"/>
      <x:c r="CI32" s="139"/>
      <x:c r="CJ32" s="123">
        <x:f t="shared" si="17"/>
        <x:v>14</x:v>
      </x:c>
      <x:c r="CK32" s="138">
        <x:v>14</x:v>
      </x:c>
      <x:c r="CL32" s="139"/>
      <x:c r="CM32" s="139"/>
      <x:c r="CN32" s="139"/>
      <x:c r="CO32" s="139"/>
      <x:c r="CP32" s="123">
        <x:f t="shared" si="18"/>
        <x:v>14</x:v>
      </x:c>
      <x:c r="CQ32" s="127"/>
      <x:c r="CR32" s="115"/>
      <x:c r="CS32" s="115"/>
      <x:c r="CT32" s="115"/>
      <x:c r="CU32" s="115"/>
      <x:c r="CV32" s="123">
        <x:f t="shared" si="19"/>
        <x:v>0</x:v>
      </x:c>
      <x:c r="CW32" s="127"/>
      <x:c r="CX32" s="115"/>
      <x:c r="CY32" s="115"/>
      <x:c r="CZ32" s="115"/>
      <x:c r="DA32" s="115"/>
      <x:c r="DB32" s="123">
        <x:f t="shared" si="20"/>
        <x:v>0</x:v>
      </x:c>
      <x:c r="DC32" s="127"/>
      <x:c r="DD32" s="115"/>
      <x:c r="DE32" s="115"/>
      <x:c r="DF32" s="115"/>
      <x:c r="DG32" s="115"/>
      <x:c r="DH32" s="123">
        <x:f t="shared" si="21"/>
        <x:v>0</x:v>
      </x:c>
      <x:c r="DI32" s="127"/>
      <x:c r="DJ32" s="115"/>
      <x:c r="DK32" s="115"/>
      <x:c r="DL32" s="115"/>
      <x:c r="DM32" s="115"/>
      <x:c r="DN32" s="123">
        <x:f t="shared" si="22"/>
        <x:v>0</x:v>
      </x:c>
      <x:c r="DO32" s="127"/>
      <x:c r="DP32" s="115"/>
      <x:c r="DQ32" s="115"/>
      <x:c r="DR32" s="115"/>
      <x:c r="DS32" s="115"/>
      <x:c r="DT32" s="123">
        <x:f t="shared" si="23"/>
        <x:v>0</x:v>
      </x:c>
      <x:c r="DU32" s="147"/>
      <x:c r="DV32" s="115"/>
      <x:c r="DW32" s="115"/>
      <x:c r="DX32" s="115"/>
      <x:c r="DY32" s="115"/>
      <x:c r="DZ32" s="123">
        <x:f t="shared" si="24"/>
        <x:v>0</x:v>
      </x:c>
      <x:c r="EA32" s="147"/>
      <x:c r="EB32" s="115"/>
      <x:c r="EC32" s="115"/>
      <x:c r="ED32" s="115"/>
      <x:c r="EE32" s="115"/>
      <x:c r="EF32" s="123">
        <x:f t="shared" si="25"/>
        <x:v>0</x:v>
      </x:c>
      <x:c r="EG32" s="146">
        <x:f t="shared" si="26"/>
        <x:v>168</x:v>
      </x:c>
      <x:c r="EH32" s="73" t="s">
        <x:v>37</x:v>
      </x:c>
      <x:c r="EI32" s="73" t="s">
        <x:v>149</x:v>
      </x:c>
      <x:c r="EJ32" s="142"/>
    </x:row>
    <x:row r="33" ht="54.75" customHeight="1">
      <x:c r="A33" s="76">
        <x:v>20</x:v>
      </x:c>
      <x:c r="B33" s="143" t="s">
        <x:v>150</x:v>
      </x:c>
      <x:c r="C33" s="73" t="s">
        <x:v>151</x:v>
      </x:c>
      <x:c r="D33" s="73" t="s">
        <x:v>152</x:v>
      </x:c>
      <x:c r="E33" s="73" t="s">
        <x:v>152</x:v>
      </x:c>
      <x:c r="F33" s="119">
        <x:f t="shared" si="5"/>
        <x:v>55</x:v>
      </x:c>
      <x:c r="G33" s="138">
        <x:v>19</x:v>
      </x:c>
      <x:c r="H33" s="139">
        <x:v>18</x:v>
      </x:c>
      <x:c r="I33" s="139">
        <x:v>18</x:v>
      </x:c>
      <x:c r="J33" s="139"/>
      <x:c r="K33" s="139"/>
      <x:c r="L33" s="74">
        <x:v>0.47916666666666669</x:v>
      </x:c>
      <x:c r="M33" s="73" t="s">
        <x:v>153</x:v>
      </x:c>
      <x:c r="N33" s="73"/>
      <x:c r="O33" s="75" t="s">
        <x:v>99</x:v>
      </x:c>
      <x:c r="P33" s="85" t="s">
        <x:v>29</x:v>
      </x:c>
      <x:c r="Q33" s="138">
        <x:v>19</x:v>
      </x:c>
      <x:c r="R33" s="139">
        <x:v>18</x:v>
      </x:c>
      <x:c r="S33" s="139">
        <x:v>18</x:v>
      </x:c>
      <x:c r="T33" s="139"/>
      <x:c r="U33" s="139"/>
      <x:c r="V33" s="123">
        <x:f t="shared" si="6"/>
        <x:v>55</x:v>
      </x:c>
      <x:c r="W33" s="138">
        <x:v>19</x:v>
      </x:c>
      <x:c r="X33" s="139">
        <x:v>18</x:v>
      </x:c>
      <x:c r="Y33" s="139">
        <x:v>18</x:v>
      </x:c>
      <x:c r="Z33" s="139"/>
      <x:c r="AA33" s="139"/>
      <x:c r="AB33" s="123">
        <x:f t="shared" si="7"/>
        <x:v>55</x:v>
      </x:c>
      <x:c r="AC33" s="138">
        <x:v>19</x:v>
      </x:c>
      <x:c r="AD33" s="139">
        <x:v>18</x:v>
      </x:c>
      <x:c r="AE33" s="139">
        <x:v>18</x:v>
      </x:c>
      <x:c r="AF33" s="139"/>
      <x:c r="AG33" s="139"/>
      <x:c r="AH33" s="123">
        <x:f t="shared" si="8"/>
        <x:v>55</x:v>
      </x:c>
      <x:c r="AI33" s="138">
        <x:v>19</x:v>
      </x:c>
      <x:c r="AJ33" s="139">
        <x:v>18</x:v>
      </x:c>
      <x:c r="AK33" s="139">
        <x:v>18</x:v>
      </x:c>
      <x:c r="AL33" s="139"/>
      <x:c r="AM33" s="139"/>
      <x:c r="AN33" s="123">
        <x:f t="shared" si="9"/>
        <x:v>55</x:v>
      </x:c>
      <x:c r="AO33" s="138">
        <x:v>19</x:v>
      </x:c>
      <x:c r="AP33" s="139">
        <x:v>18</x:v>
      </x:c>
      <x:c r="AQ33" s="139">
        <x:v>18</x:v>
      </x:c>
      <x:c r="AR33" s="139"/>
      <x:c r="AS33" s="139"/>
      <x:c r="AT33" s="123">
        <x:f t="shared" si="10"/>
        <x:v>55</x:v>
      </x:c>
      <x:c r="AU33" s="138">
        <x:v>19</x:v>
      </x:c>
      <x:c r="AV33" s="139">
        <x:v>18</x:v>
      </x:c>
      <x:c r="AW33" s="139">
        <x:v>18</x:v>
      </x:c>
      <x:c r="AX33" s="139"/>
      <x:c r="AY33" s="139"/>
      <x:c r="AZ33" s="123">
        <x:f t="shared" si="11"/>
        <x:v>55</x:v>
      </x:c>
      <x:c r="BA33" s="138">
        <x:v>19</x:v>
      </x:c>
      <x:c r="BB33" s="139">
        <x:v>18</x:v>
      </x:c>
      <x:c r="BC33" s="139">
        <x:v>18</x:v>
      </x:c>
      <x:c r="BD33" s="139"/>
      <x:c r="BE33" s="139"/>
      <x:c r="BF33" s="123">
        <x:f t="shared" si="12"/>
        <x:v>55</x:v>
      </x:c>
      <x:c r="BG33" s="138">
        <x:v>19</x:v>
      </x:c>
      <x:c r="BH33" s="139">
        <x:v>18</x:v>
      </x:c>
      <x:c r="BI33" s="139">
        <x:v>18</x:v>
      </x:c>
      <x:c r="BJ33" s="139"/>
      <x:c r="BK33" s="139"/>
      <x:c r="BL33" s="123">
        <x:f t="shared" si="13"/>
        <x:v>55</x:v>
      </x:c>
      <x:c r="BM33" s="138">
        <x:v>19</x:v>
      </x:c>
      <x:c r="BN33" s="139">
        <x:v>18</x:v>
      </x:c>
      <x:c r="BO33" s="139">
        <x:v>18</x:v>
      </x:c>
      <x:c r="BP33" s="139"/>
      <x:c r="BQ33" s="139"/>
      <x:c r="BR33" s="123">
        <x:f t="shared" si="14"/>
        <x:v>55</x:v>
      </x:c>
      <x:c r="BS33" s="138">
        <x:v>19</x:v>
      </x:c>
      <x:c r="BT33" s="139">
        <x:v>18</x:v>
      </x:c>
      <x:c r="BU33" s="139">
        <x:v>18</x:v>
      </x:c>
      <x:c r="BV33" s="139"/>
      <x:c r="BW33" s="139"/>
      <x:c r="BX33" s="123">
        <x:f t="shared" si="15"/>
        <x:v>55</x:v>
      </x:c>
      <x:c r="BY33" s="138">
        <x:v>19</x:v>
      </x:c>
      <x:c r="BZ33" s="139">
        <x:v>18</x:v>
      </x:c>
      <x:c r="CA33" s="139">
        <x:v>18</x:v>
      </x:c>
      <x:c r="CB33" s="139"/>
      <x:c r="CC33" s="139"/>
      <x:c r="CD33" s="123">
        <x:f t="shared" si="16"/>
        <x:v>55</x:v>
      </x:c>
      <x:c r="CE33" s="138">
        <x:v>19</x:v>
      </x:c>
      <x:c r="CF33" s="139">
        <x:v>18</x:v>
      </x:c>
      <x:c r="CG33" s="139">
        <x:v>18</x:v>
      </x:c>
      <x:c r="CH33" s="139"/>
      <x:c r="CI33" s="139"/>
      <x:c r="CJ33" s="123">
        <x:f t="shared" si="17"/>
        <x:v>55</x:v>
      </x:c>
      <x:c r="CK33" s="144"/>
      <x:c r="CL33" s="116"/>
      <x:c r="CM33" s="116"/>
      <x:c r="CN33" s="116"/>
      <x:c r="CO33" s="116"/>
      <x:c r="CP33" s="123">
        <x:f t="shared" si="18"/>
        <x:v>0</x:v>
      </x:c>
      <x:c r="CQ33" s="144"/>
      <x:c r="CR33" s="116"/>
      <x:c r="CS33" s="116"/>
      <x:c r="CT33" s="116"/>
      <x:c r="CU33" s="116"/>
      <x:c r="CV33" s="123">
        <x:f t="shared" si="19"/>
        <x:v>0</x:v>
      </x:c>
      <x:c r="CW33" s="144"/>
      <x:c r="CX33" s="116"/>
      <x:c r="CY33" s="116"/>
      <x:c r="CZ33" s="116"/>
      <x:c r="DA33" s="116"/>
      <x:c r="DB33" s="123">
        <x:f t="shared" si="20"/>
        <x:v>0</x:v>
      </x:c>
      <x:c r="DC33" s="144"/>
      <x:c r="DD33" s="116"/>
      <x:c r="DE33" s="116"/>
      <x:c r="DF33" s="116"/>
      <x:c r="DG33" s="116"/>
      <x:c r="DH33" s="123">
        <x:f t="shared" si="21"/>
        <x:v>0</x:v>
      </x:c>
      <x:c r="DI33" s="144"/>
      <x:c r="DJ33" s="116"/>
      <x:c r="DK33" s="116"/>
      <x:c r="DL33" s="116"/>
      <x:c r="DM33" s="116"/>
      <x:c r="DN33" s="123">
        <x:f t="shared" si="22"/>
        <x:v>0</x:v>
      </x:c>
      <x:c r="DO33" s="127"/>
      <x:c r="DP33" s="115"/>
      <x:c r="DQ33" s="115"/>
      <x:c r="DR33" s="115"/>
      <x:c r="DS33" s="115"/>
      <x:c r="DT33" s="123">
        <x:f t="shared" si="23"/>
        <x:v>0</x:v>
      </x:c>
      <x:c r="DU33" s="127"/>
      <x:c r="DV33" s="115"/>
      <x:c r="DW33" s="115"/>
      <x:c r="DX33" s="115"/>
      <x:c r="DY33" s="115"/>
      <x:c r="DZ33" s="123">
        <x:f t="shared" si="24"/>
        <x:v>0</x:v>
      </x:c>
      <x:c r="EA33" s="127"/>
      <x:c r="EB33" s="115"/>
      <x:c r="EC33" s="115"/>
      <x:c r="ED33" s="115"/>
      <x:c r="EE33" s="115"/>
      <x:c r="EF33" s="123">
        <x:f t="shared" si="25"/>
        <x:v>0</x:v>
      </x:c>
      <x:c r="EG33" s="146">
        <x:f t="shared" si="26"/>
        <x:v>660</x:v>
      </x:c>
      <x:c r="EH33" s="73" t="s">
        <x:v>37</x:v>
      </x:c>
      <x:c r="EI33" s="73" t="s">
        <x:v>154</x:v>
      </x:c>
      <x:c r="EJ33" s="142"/>
    </x:row>
    <x:row r="34" ht="54.75" customHeight="1">
      <x:c r="A34" s="180" t="s">
        <x:v>325</x:v>
      </x:c>
      <x:c r="B34" s="112" t="s">
        <x:v>271</x:v>
      </x:c>
      <x:c r="C34" s="155" t="s">
        <x:v>151</x:v>
      </x:c>
      <x:c r="D34" s="155" t="s">
        <x:v>272</x:v>
      </x:c>
      <x:c r="E34" s="155" t="s">
        <x:v>273</x:v>
      </x:c>
      <x:c r="F34" s="156">
        <x:f t="shared" si="5"/>
        <x:v>6</x:v>
      </x:c>
      <x:c r="G34" s="157">
        <x:v>6</x:v>
      </x:c>
      <x:c r="H34" s="158"/>
      <x:c r="I34" s="158"/>
      <x:c r="J34" s="158"/>
      <x:c r="K34" s="158"/>
      <x:c r="L34" s="159">
        <x:v>0.47916666666666669</x:v>
      </x:c>
      <x:c r="M34" s="155" t="s">
        <x:v>276</x:v>
      </x:c>
      <x:c r="N34" s="155"/>
      <x:c r="O34" s="160" t="s">
        <x:v>44</x:v>
      </x:c>
      <x:c r="P34" s="161" t="s">
        <x:v>60</x:v>
      </x:c>
      <x:c r="Q34" s="157">
        <x:v>6</x:v>
      </x:c>
      <x:c r="R34" s="158"/>
      <x:c r="S34" s="158"/>
      <x:c r="T34" s="179"/>
      <x:c r="U34" s="179"/>
      <x:c r="V34" s="164">
        <x:f t="shared" si="6"/>
        <x:v>6</x:v>
      </x:c>
      <x:c r="W34" s="157">
        <x:v>6</x:v>
      </x:c>
      <x:c r="X34" s="158"/>
      <x:c r="Y34" s="158"/>
      <x:c r="Z34" s="179"/>
      <x:c r="AA34" s="179"/>
      <x:c r="AB34" s="164">
        <x:f t="shared" si="7"/>
        <x:v>6</x:v>
      </x:c>
      <x:c r="AC34" s="157">
        <x:v>6</x:v>
      </x:c>
      <x:c r="AD34" s="158"/>
      <x:c r="AE34" s="158"/>
      <x:c r="AF34" s="179"/>
      <x:c r="AG34" s="179"/>
      <x:c r="AH34" s="164">
        <x:f t="shared" si="8"/>
        <x:v>6</x:v>
      </x:c>
      <x:c r="AI34" s="157">
        <x:v>6</x:v>
      </x:c>
      <x:c r="AJ34" s="158"/>
      <x:c r="AK34" s="158"/>
      <x:c r="AL34" s="179"/>
      <x:c r="AM34" s="179"/>
      <x:c r="AN34" s="164">
        <x:f t="shared" si="9"/>
        <x:v>6</x:v>
      </x:c>
      <x:c r="AO34" s="157">
        <x:v>6</x:v>
      </x:c>
      <x:c r="AP34" s="158"/>
      <x:c r="AQ34" s="158"/>
      <x:c r="AR34" s="179"/>
      <x:c r="AS34" s="179"/>
      <x:c r="AT34" s="164">
        <x:f t="shared" si="10"/>
        <x:v>6</x:v>
      </x:c>
      <x:c r="AU34" s="157">
        <x:v>6</x:v>
      </x:c>
      <x:c r="AV34" s="158"/>
      <x:c r="AW34" s="158"/>
      <x:c r="AX34" s="179"/>
      <x:c r="AY34" s="179"/>
      <x:c r="AZ34" s="164">
        <x:f t="shared" si="11"/>
        <x:v>6</x:v>
      </x:c>
      <x:c r="BA34" s="157">
        <x:v>6</x:v>
      </x:c>
      <x:c r="BB34" s="158"/>
      <x:c r="BC34" s="158"/>
      <x:c r="BD34" s="179"/>
      <x:c r="BE34" s="179"/>
      <x:c r="BF34" s="164">
        <x:f t="shared" si="12"/>
        <x:v>6</x:v>
      </x:c>
      <x:c r="BG34" s="157">
        <x:v>6</x:v>
      </x:c>
      <x:c r="BH34" s="158"/>
      <x:c r="BI34" s="158"/>
      <x:c r="BJ34" s="179"/>
      <x:c r="BK34" s="179"/>
      <x:c r="BL34" s="164">
        <x:f t="shared" si="13"/>
        <x:v>6</x:v>
      </x:c>
      <x:c r="BM34" s="157">
        <x:v>6</x:v>
      </x:c>
      <x:c r="BN34" s="158"/>
      <x:c r="BO34" s="158"/>
      <x:c r="BP34" s="179"/>
      <x:c r="BQ34" s="179"/>
      <x:c r="BR34" s="164">
        <x:f t="shared" si="14"/>
        <x:v>6</x:v>
      </x:c>
      <x:c r="BS34" s="157">
        <x:v>6</x:v>
      </x:c>
      <x:c r="BT34" s="158"/>
      <x:c r="BU34" s="158"/>
      <x:c r="BV34" s="179"/>
      <x:c r="BW34" s="179"/>
      <x:c r="BX34" s="164">
        <x:f t="shared" si="15"/>
        <x:v>6</x:v>
      </x:c>
      <x:c r="BY34" s="157">
        <x:v>6</x:v>
      </x:c>
      <x:c r="BZ34" s="158"/>
      <x:c r="CA34" s="158"/>
      <x:c r="CB34" s="179"/>
      <x:c r="CC34" s="179"/>
      <x:c r="CD34" s="164">
        <x:f t="shared" si="16"/>
        <x:v>6</x:v>
      </x:c>
      <x:c r="CE34" s="157">
        <x:v>6</x:v>
      </x:c>
      <x:c r="CF34" s="158"/>
      <x:c r="CG34" s="158"/>
      <x:c r="CH34" s="179"/>
      <x:c r="CI34" s="179"/>
      <x:c r="CJ34" s="164">
        <x:f t="shared" si="17"/>
        <x:v>6</x:v>
      </x:c>
      <x:c r="CK34" s="182"/>
      <x:c r="CL34" s="179"/>
      <x:c r="CM34" s="179"/>
      <x:c r="CN34" s="179"/>
      <x:c r="CO34" s="179"/>
      <x:c r="CP34" s="164">
        <x:f t="shared" si="18"/>
        <x:v>0</x:v>
      </x:c>
      <x:c r="CQ34" s="182"/>
      <x:c r="CR34" s="179"/>
      <x:c r="CS34" s="179"/>
      <x:c r="CT34" s="179"/>
      <x:c r="CU34" s="179"/>
      <x:c r="CV34" s="164">
        <x:f t="shared" si="19"/>
        <x:v>0</x:v>
      </x:c>
      <x:c r="CW34" s="178"/>
      <x:c r="CX34" s="179"/>
      <x:c r="CY34" s="179"/>
      <x:c r="CZ34" s="179"/>
      <x:c r="DA34" s="179"/>
      <x:c r="DB34" s="164">
        <x:f t="shared" si="20"/>
        <x:v>0</x:v>
      </x:c>
      <x:c r="DC34" s="178"/>
      <x:c r="DD34" s="179"/>
      <x:c r="DE34" s="179"/>
      <x:c r="DF34" s="179"/>
      <x:c r="DG34" s="179"/>
      <x:c r="DH34" s="164">
        <x:f t="shared" si="21"/>
        <x:v>0</x:v>
      </x:c>
      <x:c r="DI34" s="178"/>
      <x:c r="DJ34" s="179"/>
      <x:c r="DK34" s="179"/>
      <x:c r="DL34" s="179"/>
      <x:c r="DM34" s="179"/>
      <x:c r="DN34" s="164">
        <x:f t="shared" si="22"/>
        <x:v>0</x:v>
      </x:c>
      <x:c r="DO34" s="181"/>
      <x:c r="DP34" s="165"/>
      <x:c r="DQ34" s="165"/>
      <x:c r="DR34" s="165"/>
      <x:c r="DS34" s="165"/>
      <x:c r="DT34" s="164">
        <x:f t="shared" si="23"/>
        <x:v>0</x:v>
      </x:c>
      <x:c r="DU34" s="181"/>
      <x:c r="DV34" s="165"/>
      <x:c r="DW34" s="165"/>
      <x:c r="DX34" s="165"/>
      <x:c r="DY34" s="165"/>
      <x:c r="DZ34" s="164">
        <x:f t="shared" si="24"/>
        <x:v>0</x:v>
      </x:c>
      <x:c r="EA34" s="181"/>
      <x:c r="EB34" s="165"/>
      <x:c r="EC34" s="165"/>
      <x:c r="ED34" s="165"/>
      <x:c r="EE34" s="165"/>
      <x:c r="EF34" s="164">
        <x:f t="shared" si="25"/>
        <x:v>0</x:v>
      </x:c>
      <x:c r="EG34" s="167">
        <x:f t="shared" si="26"/>
        <x:v>72</x:v>
      </x:c>
      <x:c r="EH34" s="168" t="s">
        <x:v>269</x:v>
      </x:c>
      <x:c r="EI34" s="169" t="s">
        <x:v>154</x:v>
      </x:c>
      <x:c r="EJ34" s="171"/>
    </x:row>
    <x:row r="35" ht="54.75" customHeight="1">
      <x:c r="A35" s="76">
        <x:v>21</x:v>
      </x:c>
      <x:c r="B35" s="143" t="s">
        <x:v>155</x:v>
      </x:c>
      <x:c r="C35" s="73" t="s">
        <x:v>156</x:v>
      </x:c>
      <x:c r="D35" s="73" t="s">
        <x:v>157</x:v>
      </x:c>
      <x:c r="E35" s="73" t="s">
        <x:v>158</x:v>
      </x:c>
      <x:c r="F35" s="119">
        <x:f t="shared" si="5"/>
        <x:v>21</x:v>
      </x:c>
      <x:c r="G35" s="138">
        <x:v>21</x:v>
      </x:c>
      <x:c r="H35" s="139"/>
      <x:c r="I35" s="139"/>
      <x:c r="J35" s="139"/>
      <x:c r="K35" s="139"/>
      <x:c r="L35" s="74">
        <x:v>0.47916666666666669</x:v>
      </x:c>
      <x:c r="M35" s="73" t="s">
        <x:v>159</x:v>
      </x:c>
      <x:c r="N35" s="73" t="s">
        <x:v>160</x:v>
      </x:c>
      <x:c r="O35" s="75" t="s">
        <x:v>141</x:v>
      </x:c>
      <x:c r="P35" s="85" t="s">
        <x:v>29</x:v>
      </x:c>
      <x:c r="Q35" s="138">
        <x:v>21</x:v>
      </x:c>
      <x:c r="R35" s="116"/>
      <x:c r="S35" s="116"/>
      <x:c r="T35" s="116"/>
      <x:c r="U35" s="116"/>
      <x:c r="V35" s="123">
        <x:f t="shared" si="6"/>
        <x:v>21</x:v>
      </x:c>
      <x:c r="W35" s="138">
        <x:v>21</x:v>
      </x:c>
      <x:c r="X35" s="116"/>
      <x:c r="Y35" s="116"/>
      <x:c r="Z35" s="116"/>
      <x:c r="AA35" s="116"/>
      <x:c r="AB35" s="123">
        <x:f t="shared" si="7"/>
        <x:v>21</x:v>
      </x:c>
      <x:c r="AC35" s="138">
        <x:v>21</x:v>
      </x:c>
      <x:c r="AD35" s="116"/>
      <x:c r="AE35" s="116"/>
      <x:c r="AF35" s="116"/>
      <x:c r="AG35" s="116"/>
      <x:c r="AH35" s="123">
        <x:f t="shared" si="8"/>
        <x:v>21</x:v>
      </x:c>
      <x:c r="AI35" s="138">
        <x:v>21</x:v>
      </x:c>
      <x:c r="AJ35" s="116"/>
      <x:c r="AK35" s="116"/>
      <x:c r="AL35" s="116"/>
      <x:c r="AM35" s="116"/>
      <x:c r="AN35" s="123">
        <x:f t="shared" si="9"/>
        <x:v>21</x:v>
      </x:c>
      <x:c r="AO35" s="138">
        <x:v>21</x:v>
      </x:c>
      <x:c r="AP35" s="116"/>
      <x:c r="AQ35" s="116"/>
      <x:c r="AR35" s="116"/>
      <x:c r="AS35" s="116"/>
      <x:c r="AT35" s="123">
        <x:f t="shared" si="10"/>
        <x:v>21</x:v>
      </x:c>
      <x:c r="AU35" s="138">
        <x:v>21</x:v>
      </x:c>
      <x:c r="AV35" s="116"/>
      <x:c r="AW35" s="116"/>
      <x:c r="AX35" s="116"/>
      <x:c r="AY35" s="116"/>
      <x:c r="AZ35" s="123">
        <x:f t="shared" si="11"/>
        <x:v>21</x:v>
      </x:c>
      <x:c r="BA35" s="138">
        <x:v>21</x:v>
      </x:c>
      <x:c r="BB35" s="116"/>
      <x:c r="BC35" s="116"/>
      <x:c r="BD35" s="116"/>
      <x:c r="BE35" s="116"/>
      <x:c r="BF35" s="123">
        <x:f t="shared" si="12"/>
        <x:v>21</x:v>
      </x:c>
      <x:c r="BG35" s="138">
        <x:v>21</x:v>
      </x:c>
      <x:c r="BH35" s="116"/>
      <x:c r="BI35" s="116"/>
      <x:c r="BJ35" s="116"/>
      <x:c r="BK35" s="116"/>
      <x:c r="BL35" s="123">
        <x:f t="shared" si="13"/>
        <x:v>21</x:v>
      </x:c>
      <x:c r="BM35" s="138">
        <x:v>21</x:v>
      </x:c>
      <x:c r="BN35" s="116"/>
      <x:c r="BO35" s="116"/>
      <x:c r="BP35" s="116"/>
      <x:c r="BQ35" s="116"/>
      <x:c r="BR35" s="123">
        <x:f t="shared" si="14"/>
        <x:v>21</x:v>
      </x:c>
      <x:c r="BS35" s="138">
        <x:v>21</x:v>
      </x:c>
      <x:c r="BT35" s="116"/>
      <x:c r="BU35" s="116"/>
      <x:c r="BV35" s="116"/>
      <x:c r="BW35" s="116"/>
      <x:c r="BX35" s="123">
        <x:f t="shared" si="15"/>
        <x:v>21</x:v>
      </x:c>
      <x:c r="BY35" s="138"/>
      <x:c r="BZ35" s="116"/>
      <x:c r="CA35" s="116"/>
      <x:c r="CB35" s="116"/>
      <x:c r="CC35" s="116"/>
      <x:c r="CD35" s="123">
        <x:f t="shared" si="16"/>
        <x:v>0</x:v>
      </x:c>
      <x:c r="CE35" s="138"/>
      <x:c r="CF35" s="116"/>
      <x:c r="CG35" s="116"/>
      <x:c r="CH35" s="116"/>
      <x:c r="CI35" s="116"/>
      <x:c r="CJ35" s="123">
        <x:f t="shared" si="17"/>
        <x:v>0</x:v>
      </x:c>
      <x:c r="CK35" s="138">
        <x:v>21</x:v>
      </x:c>
      <x:c r="CL35" s="115"/>
      <x:c r="CM35" s="115"/>
      <x:c r="CN35" s="115"/>
      <x:c r="CO35" s="115"/>
      <x:c r="CP35" s="123">
        <x:f t="shared" si="18"/>
        <x:v>21</x:v>
      </x:c>
      <x:c r="CQ35" s="138">
        <x:v>21</x:v>
      </x:c>
      <x:c r="CR35" s="115"/>
      <x:c r="CS35" s="115"/>
      <x:c r="CT35" s="115"/>
      <x:c r="CU35" s="115"/>
      <x:c r="CV35" s="123">
        <x:f t="shared" si="19"/>
        <x:v>21</x:v>
      </x:c>
      <x:c r="CW35" s="127"/>
      <x:c r="CX35" s="115"/>
      <x:c r="CY35" s="115"/>
      <x:c r="CZ35" s="115"/>
      <x:c r="DA35" s="115"/>
      <x:c r="DB35" s="123">
        <x:f t="shared" si="20"/>
        <x:v>0</x:v>
      </x:c>
      <x:c r="DC35" s="127"/>
      <x:c r="DD35" s="115"/>
      <x:c r="DE35" s="115"/>
      <x:c r="DF35" s="115"/>
      <x:c r="DG35" s="115"/>
      <x:c r="DH35" s="123">
        <x:f t="shared" si="21"/>
        <x:v>0</x:v>
      </x:c>
      <x:c r="DI35" s="127"/>
      <x:c r="DJ35" s="115"/>
      <x:c r="DK35" s="115"/>
      <x:c r="DL35" s="115"/>
      <x:c r="DM35" s="115"/>
      <x:c r="DN35" s="123">
        <x:f t="shared" si="22"/>
        <x:v>0</x:v>
      </x:c>
      <x:c r="DO35" s="144"/>
      <x:c r="DP35" s="116"/>
      <x:c r="DQ35" s="116"/>
      <x:c r="DR35" s="116"/>
      <x:c r="DS35" s="116"/>
      <x:c r="DT35" s="123">
        <x:f t="shared" si="23"/>
        <x:v>0</x:v>
      </x:c>
      <x:c r="DU35" s="144"/>
      <x:c r="DV35" s="116"/>
      <x:c r="DW35" s="116"/>
      <x:c r="DX35" s="116"/>
      <x:c r="DY35" s="116"/>
      <x:c r="DZ35" s="123">
        <x:f t="shared" si="24"/>
        <x:v>0</x:v>
      </x:c>
      <x:c r="EA35" s="144"/>
      <x:c r="EB35" s="116"/>
      <x:c r="EC35" s="116"/>
      <x:c r="ED35" s="116"/>
      <x:c r="EE35" s="116"/>
      <x:c r="EF35" s="123">
        <x:f t="shared" si="25"/>
        <x:v>0</x:v>
      </x:c>
      <x:c r="EG35" s="146">
        <x:f t="shared" si="26"/>
        <x:v>252</x:v>
      </x:c>
      <x:c r="EH35" s="73" t="s">
        <x:v>37</x:v>
      </x:c>
      <x:c r="EI35" s="73" t="s">
        <x:v>161</x:v>
      </x:c>
      <x:c r="EJ35" s="142"/>
    </x:row>
    <x:row r="36" ht="54.75" customHeight="1">
      <x:c r="A36" s="76">
        <x:v>22</x:v>
      </x:c>
      <x:c r="B36" s="143" t="s">
        <x:v>162</x:v>
      </x:c>
      <x:c r="C36" s="73" t="s">
        <x:v>278</x:v>
      </x:c>
      <x:c r="D36" s="73" t="s">
        <x:v>164</x:v>
      </x:c>
      <x:c r="E36" s="73" t="s">
        <x:v>165</x:v>
      </x:c>
      <x:c r="F36" s="119">
        <x:f t="shared" si="5"/>
        <x:v>21</x:v>
      </x:c>
      <x:c r="G36" s="138">
        <x:v>21</x:v>
      </x:c>
      <x:c r="H36" s="139"/>
      <x:c r="I36" s="139"/>
      <x:c r="J36" s="139"/>
      <x:c r="K36" s="139"/>
      <x:c r="L36" s="74">
        <x:v>0.4861111111111111</x:v>
      </x:c>
      <x:c r="M36" s="73" t="s">
        <x:v>129</x:v>
      </x:c>
      <x:c r="N36" s="73"/>
      <x:c r="O36" s="75" t="s">
        <x:v>28</x:v>
      </x:c>
      <x:c r="P36" s="85" t="s">
        <x:v>29</x:v>
      </x:c>
      <x:c r="Q36" s="138">
        <x:v>21</x:v>
      </x:c>
      <x:c r="R36" s="115"/>
      <x:c r="S36" s="115"/>
      <x:c r="T36" s="115"/>
      <x:c r="U36" s="115"/>
      <x:c r="V36" s="123">
        <x:f t="shared" si="6"/>
        <x:v>21</x:v>
      </x:c>
      <x:c r="W36" s="138">
        <x:v>21</x:v>
      </x:c>
      <x:c r="X36" s="116"/>
      <x:c r="Y36" s="116"/>
      <x:c r="Z36" s="116"/>
      <x:c r="AA36" s="116"/>
      <x:c r="AB36" s="123">
        <x:f t="shared" si="7"/>
        <x:v>21</x:v>
      </x:c>
      <x:c r="AC36" s="138">
        <x:v>21</x:v>
      </x:c>
      <x:c r="AD36" s="116"/>
      <x:c r="AE36" s="116"/>
      <x:c r="AF36" s="116"/>
      <x:c r="AG36" s="116"/>
      <x:c r="AH36" s="123">
        <x:f t="shared" si="8"/>
        <x:v>21</x:v>
      </x:c>
      <x:c r="AI36" s="138">
        <x:v>21</x:v>
      </x:c>
      <x:c r="AJ36" s="116"/>
      <x:c r="AK36" s="116"/>
      <x:c r="AL36" s="116"/>
      <x:c r="AM36" s="116"/>
      <x:c r="AN36" s="123">
        <x:f t="shared" si="9"/>
        <x:v>21</x:v>
      </x:c>
      <x:c r="AO36" s="138">
        <x:v>21</x:v>
      </x:c>
      <x:c r="AP36" s="116"/>
      <x:c r="AQ36" s="116"/>
      <x:c r="AR36" s="116"/>
      <x:c r="AS36" s="116"/>
      <x:c r="AT36" s="123">
        <x:f t="shared" si="10"/>
        <x:v>21</x:v>
      </x:c>
      <x:c r="AU36" s="138">
        <x:v>21</x:v>
      </x:c>
      <x:c r="AV36" s="116"/>
      <x:c r="AW36" s="116"/>
      <x:c r="AX36" s="116"/>
      <x:c r="AY36" s="116"/>
      <x:c r="AZ36" s="123">
        <x:f t="shared" si="11"/>
        <x:v>21</x:v>
      </x:c>
      <x:c r="BA36" s="138">
        <x:v>21</x:v>
      </x:c>
      <x:c r="BB36" s="116"/>
      <x:c r="BC36" s="116"/>
      <x:c r="BD36" s="116"/>
      <x:c r="BE36" s="116"/>
      <x:c r="BF36" s="123">
        <x:f t="shared" si="12"/>
        <x:v>21</x:v>
      </x:c>
      <x:c r="BG36" s="138">
        <x:v>21</x:v>
      </x:c>
      <x:c r="BH36" s="116"/>
      <x:c r="BI36" s="116"/>
      <x:c r="BJ36" s="116"/>
      <x:c r="BK36" s="116"/>
      <x:c r="BL36" s="123">
        <x:f t="shared" si="13"/>
        <x:v>21</x:v>
      </x:c>
      <x:c r="BM36" s="144"/>
      <x:c r="BN36" s="116"/>
      <x:c r="BO36" s="116"/>
      <x:c r="BP36" s="116"/>
      <x:c r="BQ36" s="116"/>
      <x:c r="BR36" s="123">
        <x:f t="shared" si="14"/>
        <x:v>0</x:v>
      </x:c>
      <x:c r="BS36" s="144"/>
      <x:c r="BT36" s="116"/>
      <x:c r="BU36" s="116"/>
      <x:c r="BV36" s="116"/>
      <x:c r="BW36" s="116"/>
      <x:c r="BX36" s="123">
        <x:f t="shared" si="15"/>
        <x:v>0</x:v>
      </x:c>
      <x:c r="BY36" s="144"/>
      <x:c r="BZ36" s="116"/>
      <x:c r="CA36" s="116"/>
      <x:c r="CB36" s="116"/>
      <x:c r="CC36" s="116"/>
      <x:c r="CD36" s="123">
        <x:f t="shared" si="16"/>
        <x:v>0</x:v>
      </x:c>
      <x:c r="CE36" s="127"/>
      <x:c r="CF36" s="115"/>
      <x:c r="CG36" s="115"/>
      <x:c r="CH36" s="115"/>
      <x:c r="CI36" s="115"/>
      <x:c r="CJ36" s="123">
        <x:f t="shared" si="17"/>
        <x:v>0</x:v>
      </x:c>
      <x:c r="CK36" s="127"/>
      <x:c r="CL36" s="115"/>
      <x:c r="CM36" s="115"/>
      <x:c r="CN36" s="115"/>
      <x:c r="CO36" s="115"/>
      <x:c r="CP36" s="123">
        <x:f t="shared" si="18"/>
        <x:v>0</x:v>
      </x:c>
      <x:c r="CQ36" s="127"/>
      <x:c r="CR36" s="115"/>
      <x:c r="CS36" s="115"/>
      <x:c r="CT36" s="115"/>
      <x:c r="CU36" s="115"/>
      <x:c r="CV36" s="123">
        <x:f t="shared" si="19"/>
        <x:v>0</x:v>
      </x:c>
      <x:c r="CW36" s="127"/>
      <x:c r="CX36" s="115"/>
      <x:c r="CY36" s="115"/>
      <x:c r="CZ36" s="115"/>
      <x:c r="DA36" s="115"/>
      <x:c r="DB36" s="123">
        <x:f t="shared" si="20"/>
        <x:v>0</x:v>
      </x:c>
      <x:c r="DC36" s="127"/>
      <x:c r="DD36" s="115"/>
      <x:c r="DE36" s="115"/>
      <x:c r="DF36" s="115"/>
      <x:c r="DG36" s="115"/>
      <x:c r="DH36" s="123">
        <x:f t="shared" si="21"/>
        <x:v>0</x:v>
      </x:c>
      <x:c r="DI36" s="127"/>
      <x:c r="DJ36" s="115"/>
      <x:c r="DK36" s="115"/>
      <x:c r="DL36" s="115"/>
      <x:c r="DM36" s="115"/>
      <x:c r="DN36" s="123">
        <x:f t="shared" si="22"/>
        <x:v>0</x:v>
      </x:c>
      <x:c r="DO36" s="127"/>
      <x:c r="DP36" s="115"/>
      <x:c r="DQ36" s="115"/>
      <x:c r="DR36" s="115"/>
      <x:c r="DS36" s="115"/>
      <x:c r="DT36" s="123">
        <x:f t="shared" si="23"/>
        <x:v>0</x:v>
      </x:c>
      <x:c r="DU36" s="127"/>
      <x:c r="DV36" s="115"/>
      <x:c r="DW36" s="115"/>
      <x:c r="DX36" s="115"/>
      <x:c r="DY36" s="115"/>
      <x:c r="DZ36" s="123">
        <x:f t="shared" si="24"/>
        <x:v>0</x:v>
      </x:c>
      <x:c r="EA36" s="127"/>
      <x:c r="EB36" s="115"/>
      <x:c r="EC36" s="115"/>
      <x:c r="ED36" s="115"/>
      <x:c r="EE36" s="115"/>
      <x:c r="EF36" s="123">
        <x:f t="shared" si="25"/>
        <x:v>0</x:v>
      </x:c>
      <x:c r="EG36" s="146">
        <x:f t="shared" si="26"/>
        <x:v>168</x:v>
      </x:c>
      <x:c r="EH36" s="73" t="s">
        <x:v>37</x:v>
      </x:c>
      <x:c r="EI36" s="73" t="s">
        <x:v>166</x:v>
      </x:c>
      <x:c r="EJ36" s="142"/>
    </x:row>
    <x:row r="37" ht="54.75" customHeight="1">
      <x:c r="A37" s="180" t="s">
        <x:v>326</x:v>
      </x:c>
      <x:c r="B37" s="112" t="s">
        <x:v>277</x:v>
      </x:c>
      <x:c r="C37" s="155" t="s">
        <x:v>278</x:v>
      </x:c>
      <x:c r="D37" s="155" t="s">
        <x:v>279</x:v>
      </x:c>
      <x:c r="E37" s="155" t="s">
        <x:v>280</x:v>
      </x:c>
      <x:c r="F37" s="156">
        <x:f t="shared" si="5"/>
        <x:v>2</x:v>
      </x:c>
      <x:c r="G37" s="157">
        <x:v>2</x:v>
      </x:c>
      <x:c r="H37" s="158"/>
      <x:c r="I37" s="158"/>
      <x:c r="J37" s="158"/>
      <x:c r="K37" s="158"/>
      <x:c r="L37" s="159">
        <x:v>0.5</x:v>
      </x:c>
      <x:c r="M37" s="155" t="s">
        <x:v>282</x:v>
      </x:c>
      <x:c r="N37" s="155"/>
      <x:c r="O37" s="160" t="s">
        <x:v>36</x:v>
      </x:c>
      <x:c r="P37" s="161" t="s">
        <x:v>60</x:v>
      </x:c>
      <x:c r="Q37" s="157">
        <x:v>2</x:v>
      </x:c>
      <x:c r="R37" s="165"/>
      <x:c r="S37" s="165"/>
      <x:c r="T37" s="165"/>
      <x:c r="U37" s="165"/>
      <x:c r="V37" s="164">
        <x:f t="shared" si="6"/>
        <x:v>2</x:v>
      </x:c>
      <x:c r="W37" s="157">
        <x:v>2</x:v>
      </x:c>
      <x:c r="X37" s="179"/>
      <x:c r="Y37" s="179"/>
      <x:c r="Z37" s="179"/>
      <x:c r="AA37" s="179"/>
      <x:c r="AB37" s="164">
        <x:f t="shared" si="7"/>
        <x:v>2</x:v>
      </x:c>
      <x:c r="AC37" s="157">
        <x:v>2</x:v>
      </x:c>
      <x:c r="AD37" s="179"/>
      <x:c r="AE37" s="179"/>
      <x:c r="AF37" s="179"/>
      <x:c r="AG37" s="179"/>
      <x:c r="AH37" s="164">
        <x:f t="shared" si="8"/>
        <x:v>2</x:v>
      </x:c>
      <x:c r="AI37" s="157">
        <x:v>2</x:v>
      </x:c>
      <x:c r="AJ37" s="179"/>
      <x:c r="AK37" s="179"/>
      <x:c r="AL37" s="179"/>
      <x:c r="AM37" s="179"/>
      <x:c r="AN37" s="164">
        <x:f t="shared" si="9"/>
        <x:v>2</x:v>
      </x:c>
      <x:c r="AO37" s="157">
        <x:v>2</x:v>
      </x:c>
      <x:c r="AP37" s="179"/>
      <x:c r="AQ37" s="179"/>
      <x:c r="AR37" s="179"/>
      <x:c r="AS37" s="179"/>
      <x:c r="AT37" s="164">
        <x:f t="shared" si="10"/>
        <x:v>2</x:v>
      </x:c>
      <x:c r="AU37" s="157">
        <x:v>2</x:v>
      </x:c>
      <x:c r="AV37" s="179"/>
      <x:c r="AW37" s="179"/>
      <x:c r="AX37" s="179"/>
      <x:c r="AY37" s="179"/>
      <x:c r="AZ37" s="164">
        <x:f t="shared" si="11"/>
        <x:v>2</x:v>
      </x:c>
      <x:c r="BA37" s="157">
        <x:v>2</x:v>
      </x:c>
      <x:c r="BB37" s="179"/>
      <x:c r="BC37" s="179"/>
      <x:c r="BD37" s="179"/>
      <x:c r="BE37" s="179"/>
      <x:c r="BF37" s="164">
        <x:f t="shared" si="12"/>
        <x:v>2</x:v>
      </x:c>
      <x:c r="BG37" s="157">
        <x:v>2</x:v>
      </x:c>
      <x:c r="BH37" s="179"/>
      <x:c r="BI37" s="179"/>
      <x:c r="BJ37" s="179"/>
      <x:c r="BK37" s="179"/>
      <x:c r="BL37" s="164">
        <x:f t="shared" si="13"/>
        <x:v>2</x:v>
      </x:c>
      <x:c r="BM37" s="178">
        <x:v>3</x:v>
      </x:c>
      <x:c r="BN37" s="179"/>
      <x:c r="BO37" s="179"/>
      <x:c r="BP37" s="179"/>
      <x:c r="BQ37" s="179"/>
      <x:c r="BR37" s="164">
        <x:f t="shared" si="14"/>
        <x:v>3</x:v>
      </x:c>
      <x:c r="BS37" s="178">
        <x:v>3</x:v>
      </x:c>
      <x:c r="BT37" s="179"/>
      <x:c r="BU37" s="179"/>
      <x:c r="BV37" s="179"/>
      <x:c r="BW37" s="179"/>
      <x:c r="BX37" s="164">
        <x:f t="shared" si="15"/>
        <x:v>3</x:v>
      </x:c>
      <x:c r="BY37" s="178"/>
      <x:c r="BZ37" s="179"/>
      <x:c r="CA37" s="179"/>
      <x:c r="CB37" s="179"/>
      <x:c r="CC37" s="179"/>
      <x:c r="CD37" s="164">
        <x:f t="shared" si="16"/>
        <x:v>0</x:v>
      </x:c>
      <x:c r="CE37" s="181"/>
      <x:c r="CF37" s="165"/>
      <x:c r="CG37" s="165"/>
      <x:c r="CH37" s="165"/>
      <x:c r="CI37" s="165"/>
      <x:c r="CJ37" s="164">
        <x:f t="shared" si="17"/>
        <x:v>0</x:v>
      </x:c>
      <x:c r="CK37" s="181"/>
      <x:c r="CL37" s="165"/>
      <x:c r="CM37" s="165"/>
      <x:c r="CN37" s="165"/>
      <x:c r="CO37" s="165"/>
      <x:c r="CP37" s="164">
        <x:f t="shared" si="18"/>
        <x:v>0</x:v>
      </x:c>
      <x:c r="CQ37" s="181"/>
      <x:c r="CR37" s="165"/>
      <x:c r="CS37" s="165"/>
      <x:c r="CT37" s="165"/>
      <x:c r="CU37" s="165"/>
      <x:c r="CV37" s="164">
        <x:f t="shared" si="19"/>
        <x:v>0</x:v>
      </x:c>
      <x:c r="CW37" s="181"/>
      <x:c r="CX37" s="165"/>
      <x:c r="CY37" s="165"/>
      <x:c r="CZ37" s="165"/>
      <x:c r="DA37" s="165"/>
      <x:c r="DB37" s="164">
        <x:f t="shared" si="20"/>
        <x:v>0</x:v>
      </x:c>
      <x:c r="DC37" s="181"/>
      <x:c r="DD37" s="165"/>
      <x:c r="DE37" s="165"/>
      <x:c r="DF37" s="165"/>
      <x:c r="DG37" s="165"/>
      <x:c r="DH37" s="164">
        <x:f t="shared" si="21"/>
        <x:v>0</x:v>
      </x:c>
      <x:c r="DI37" s="181"/>
      <x:c r="DJ37" s="165"/>
      <x:c r="DK37" s="165"/>
      <x:c r="DL37" s="165"/>
      <x:c r="DM37" s="165"/>
      <x:c r="DN37" s="164">
        <x:f t="shared" si="22"/>
        <x:v>0</x:v>
      </x:c>
      <x:c r="DO37" s="181"/>
      <x:c r="DP37" s="165"/>
      <x:c r="DQ37" s="165"/>
      <x:c r="DR37" s="165"/>
      <x:c r="DS37" s="165"/>
      <x:c r="DT37" s="164">
        <x:f t="shared" si="23"/>
        <x:v>0</x:v>
      </x:c>
      <x:c r="DU37" s="181"/>
      <x:c r="DV37" s="165"/>
      <x:c r="DW37" s="165"/>
      <x:c r="DX37" s="165"/>
      <x:c r="DY37" s="165"/>
      <x:c r="DZ37" s="164">
        <x:f t="shared" si="24"/>
        <x:v>0</x:v>
      </x:c>
      <x:c r="EA37" s="181"/>
      <x:c r="EB37" s="165"/>
      <x:c r="EC37" s="165"/>
      <x:c r="ED37" s="165"/>
      <x:c r="EE37" s="165"/>
      <x:c r="EF37" s="164">
        <x:f t="shared" si="25"/>
        <x:v>0</x:v>
      </x:c>
      <x:c r="EG37" s="167">
        <x:f t="shared" si="26"/>
        <x:v>22</x:v>
      </x:c>
      <x:c r="EH37" s="168" t="s">
        <x:v>283</x:v>
      </x:c>
      <x:c r="EI37" s="169" t="s">
        <x:v>327</x:v>
      </x:c>
      <x:c r="EJ37" s="171"/>
    </x:row>
    <x:row r="38" ht="54.75" customHeight="1">
      <x:c r="A38" s="76">
        <x:v>23</x:v>
      </x:c>
      <x:c r="B38" s="143" t="s">
        <x:v>167</x:v>
      </x:c>
      <x:c r="C38" s="73" t="s">
        <x:v>168</x:v>
      </x:c>
      <x:c r="D38" s="73" t="s">
        <x:v>169</x:v>
      </x:c>
      <x:c r="E38" s="73" t="s">
        <x:v>169</x:v>
      </x:c>
      <x:c r="F38" s="119">
        <x:f t="shared" si="5"/>
        <x:v>63</x:v>
      </x:c>
      <x:c r="G38" s="138">
        <x:v>22</x:v>
      </x:c>
      <x:c r="H38" s="139">
        <x:v>21</x:v>
      </x:c>
      <x:c r="I38" s="139"/>
      <x:c r="J38" s="139"/>
      <x:c r="K38" s="139">
        <x:v>20</x:v>
      </x:c>
      <x:c r="L38" s="74">
        <x:v>0.49305555555555558</x:v>
      </x:c>
      <x:c r="M38" s="73" t="s">
        <x:v>147</x:v>
      </x:c>
      <x:c r="N38" s="73"/>
      <x:c r="O38" s="75" t="s">
        <x:v>67</x:v>
      </x:c>
      <x:c r="P38" s="85" t="s">
        <x:v>29</x:v>
      </x:c>
      <x:c r="Q38" s="138">
        <x:v>22</x:v>
      </x:c>
      <x:c r="R38" s="139">
        <x:v>21</x:v>
      </x:c>
      <x:c r="S38" s="139"/>
      <x:c r="T38" s="139"/>
      <x:c r="U38" s="139">
        <x:v>20</x:v>
      </x:c>
      <x:c r="V38" s="123">
        <x:f t="shared" si="6"/>
        <x:v>63</x:v>
      </x:c>
      <x:c r="W38" s="138">
        <x:v>22</x:v>
      </x:c>
      <x:c r="X38" s="139">
        <x:v>21</x:v>
      </x:c>
      <x:c r="Y38" s="139"/>
      <x:c r="Z38" s="139"/>
      <x:c r="AA38" s="139">
        <x:v>20</x:v>
      </x:c>
      <x:c r="AB38" s="123">
        <x:f t="shared" si="7"/>
        <x:v>63</x:v>
      </x:c>
      <x:c r="AC38" s="138">
        <x:v>22</x:v>
      </x:c>
      <x:c r="AD38" s="139">
        <x:v>21</x:v>
      </x:c>
      <x:c r="AE38" s="139"/>
      <x:c r="AF38" s="139"/>
      <x:c r="AG38" s="139">
        <x:v>20</x:v>
      </x:c>
      <x:c r="AH38" s="123">
        <x:f t="shared" si="8"/>
        <x:v>63</x:v>
      </x:c>
      <x:c r="AI38" s="138">
        <x:v>22</x:v>
      </x:c>
      <x:c r="AJ38" s="139">
        <x:v>21</x:v>
      </x:c>
      <x:c r="AK38" s="139"/>
      <x:c r="AL38" s="139"/>
      <x:c r="AM38" s="139">
        <x:v>20</x:v>
      </x:c>
      <x:c r="AN38" s="123">
        <x:f t="shared" si="9"/>
        <x:v>63</x:v>
      </x:c>
      <x:c r="AO38" s="138">
        <x:v>22</x:v>
      </x:c>
      <x:c r="AP38" s="139">
        <x:v>21</x:v>
      </x:c>
      <x:c r="AQ38" s="139"/>
      <x:c r="AR38" s="139"/>
      <x:c r="AS38" s="139">
        <x:v>20</x:v>
      </x:c>
      <x:c r="AT38" s="123">
        <x:f t="shared" si="10"/>
        <x:v>63</x:v>
      </x:c>
      <x:c r="AU38" s="138">
        <x:v>22</x:v>
      </x:c>
      <x:c r="AV38" s="139">
        <x:v>21</x:v>
      </x:c>
      <x:c r="AW38" s="139"/>
      <x:c r="AX38" s="139"/>
      <x:c r="AY38" s="139">
        <x:v>20</x:v>
      </x:c>
      <x:c r="AZ38" s="123">
        <x:f t="shared" si="11"/>
        <x:v>63</x:v>
      </x:c>
      <x:c r="BA38" s="138">
        <x:v>22</x:v>
      </x:c>
      <x:c r="BB38" s="139">
        <x:v>21</x:v>
      </x:c>
      <x:c r="BC38" s="139"/>
      <x:c r="BD38" s="139"/>
      <x:c r="BE38" s="139">
        <x:v>20</x:v>
      </x:c>
      <x:c r="BF38" s="123">
        <x:f t="shared" si="12"/>
        <x:v>63</x:v>
      </x:c>
      <x:c r="BG38" s="138">
        <x:v>22</x:v>
      </x:c>
      <x:c r="BH38" s="139">
        <x:v>21</x:v>
      </x:c>
      <x:c r="BI38" s="139"/>
      <x:c r="BJ38" s="139"/>
      <x:c r="BK38" s="139">
        <x:v>20</x:v>
      </x:c>
      <x:c r="BL38" s="123">
        <x:f t="shared" si="13"/>
        <x:v>63</x:v>
      </x:c>
      <x:c r="BM38" s="138">
        <x:v>22</x:v>
      </x:c>
      <x:c r="BN38" s="139">
        <x:v>21</x:v>
      </x:c>
      <x:c r="BO38" s="139"/>
      <x:c r="BP38" s="139"/>
      <x:c r="BQ38" s="139">
        <x:v>20</x:v>
      </x:c>
      <x:c r="BR38" s="123">
        <x:f t="shared" si="14"/>
        <x:v>63</x:v>
      </x:c>
      <x:c r="BS38" s="138">
        <x:v>22</x:v>
      </x:c>
      <x:c r="BT38" s="139">
        <x:v>21</x:v>
      </x:c>
      <x:c r="BU38" s="139"/>
      <x:c r="BV38" s="139"/>
      <x:c r="BW38" s="139">
        <x:v>20</x:v>
      </x:c>
      <x:c r="BX38" s="123">
        <x:f t="shared" si="15"/>
        <x:v>63</x:v>
      </x:c>
      <x:c r="BY38" s="138">
        <x:v>22</x:v>
      </x:c>
      <x:c r="BZ38" s="139">
        <x:v>21</x:v>
      </x:c>
      <x:c r="CA38" s="139"/>
      <x:c r="CB38" s="139"/>
      <x:c r="CC38" s="139">
        <x:v>20</x:v>
      </x:c>
      <x:c r="CD38" s="123">
        <x:f t="shared" si="16"/>
        <x:v>63</x:v>
      </x:c>
      <x:c r="CE38" s="138">
        <x:v>22</x:v>
      </x:c>
      <x:c r="CF38" s="139">
        <x:v>21</x:v>
      </x:c>
      <x:c r="CG38" s="139"/>
      <x:c r="CH38" s="139"/>
      <x:c r="CI38" s="139">
        <x:v>20</x:v>
      </x:c>
      <x:c r="CJ38" s="123">
        <x:f t="shared" si="17"/>
        <x:v>63</x:v>
      </x:c>
      <x:c r="CK38" s="138">
        <x:v>22</x:v>
      </x:c>
      <x:c r="CL38" s="139">
        <x:v>21</x:v>
      </x:c>
      <x:c r="CM38" s="139"/>
      <x:c r="CN38" s="139"/>
      <x:c r="CO38" s="139">
        <x:v>20</x:v>
      </x:c>
      <x:c r="CP38" s="123">
        <x:f t="shared" si="18"/>
        <x:v>63</x:v>
      </x:c>
      <x:c r="CQ38" s="127"/>
      <x:c r="CR38" s="115"/>
      <x:c r="CS38" s="115"/>
      <x:c r="CT38" s="115"/>
      <x:c r="CU38" s="115"/>
      <x:c r="CV38" s="123">
        <x:f t="shared" si="19"/>
        <x:v>0</x:v>
      </x:c>
      <x:c r="CW38" s="127"/>
      <x:c r="CX38" s="115"/>
      <x:c r="CY38" s="115"/>
      <x:c r="CZ38" s="115"/>
      <x:c r="DA38" s="115"/>
      <x:c r="DB38" s="123">
        <x:f t="shared" si="20"/>
        <x:v>0</x:v>
      </x:c>
      <x:c r="DC38" s="127"/>
      <x:c r="DD38" s="115"/>
      <x:c r="DE38" s="115"/>
      <x:c r="DF38" s="115"/>
      <x:c r="DG38" s="115"/>
      <x:c r="DH38" s="123">
        <x:f t="shared" si="21"/>
        <x:v>0</x:v>
      </x:c>
      <x:c r="DI38" s="127"/>
      <x:c r="DJ38" s="115"/>
      <x:c r="DK38" s="115"/>
      <x:c r="DL38" s="115"/>
      <x:c r="DM38" s="115"/>
      <x:c r="DN38" s="123">
        <x:f t="shared" si="22"/>
        <x:v>0</x:v>
      </x:c>
      <x:c r="DO38" s="127"/>
      <x:c r="DP38" s="115"/>
      <x:c r="DQ38" s="115"/>
      <x:c r="DR38" s="115"/>
      <x:c r="DS38" s="115"/>
      <x:c r="DT38" s="123">
        <x:f t="shared" si="23"/>
        <x:v>0</x:v>
      </x:c>
      <x:c r="DU38" s="147"/>
      <x:c r="DV38" s="115"/>
      <x:c r="DW38" s="115"/>
      <x:c r="DX38" s="115"/>
      <x:c r="DY38" s="115"/>
      <x:c r="DZ38" s="123">
        <x:f t="shared" si="24"/>
        <x:v>0</x:v>
      </x:c>
      <x:c r="EA38" s="147"/>
      <x:c r="EB38" s="115"/>
      <x:c r="EC38" s="115"/>
      <x:c r="ED38" s="115"/>
      <x:c r="EE38" s="115"/>
      <x:c r="EF38" s="123">
        <x:f t="shared" si="25"/>
        <x:v>0</x:v>
      </x:c>
      <x:c r="EG38" s="146">
        <x:f t="shared" si="26"/>
        <x:v>819</x:v>
      </x:c>
      <x:c r="EH38" s="73" t="s">
        <x:v>37</x:v>
      </x:c>
      <x:c r="EI38" s="73" t="s">
        <x:v>170</x:v>
      </x:c>
      <x:c r="EJ38" s="142"/>
    </x:row>
    <x:row r="39" ht="54.75" customHeight="1">
      <x:c r="A39" s="76">
        <x:v>24</x:v>
      </x:c>
      <x:c r="B39" s="143" t="s">
        <x:v>171</x:v>
      </x:c>
      <x:c r="C39" s="73" t="s">
        <x:v>172</x:v>
      </x:c>
      <x:c r="D39" s="73" t="s">
        <x:v>173</x:v>
      </x:c>
      <x:c r="E39" s="73" t="s">
        <x:v>174</x:v>
      </x:c>
      <x:c r="F39" s="119">
        <x:f t="shared" si="5"/>
        <x:v>17</x:v>
      </x:c>
      <x:c r="G39" s="138">
        <x:v>17</x:v>
      </x:c>
      <x:c r="H39" s="139"/>
      <x:c r="I39" s="139"/>
      <x:c r="J39" s="139"/>
      <x:c r="K39" s="139"/>
      <x:c r="L39" s="74">
        <x:v>0.5</x:v>
      </x:c>
      <x:c r="M39" s="73" t="s">
        <x:v>175</x:v>
      </x:c>
      <x:c r="N39" s="73"/>
      <x:c r="O39" s="75" t="s">
        <x:v>106</x:v>
      </x:c>
      <x:c r="P39" s="85" t="s">
        <x:v>29</x:v>
      </x:c>
      <x:c r="Q39" s="138">
        <x:v>17</x:v>
      </x:c>
      <x:c r="R39" s="139"/>
      <x:c r="S39" s="139"/>
      <x:c r="T39" s="139"/>
      <x:c r="U39" s="139"/>
      <x:c r="V39" s="123">
        <x:f t="shared" si="6"/>
        <x:v>17</x:v>
      </x:c>
      <x:c r="W39" s="138">
        <x:v>17</x:v>
      </x:c>
      <x:c r="X39" s="139"/>
      <x:c r="Y39" s="139"/>
      <x:c r="Z39" s="139"/>
      <x:c r="AA39" s="139"/>
      <x:c r="AB39" s="123">
        <x:f t="shared" si="7"/>
        <x:v>17</x:v>
      </x:c>
      <x:c r="AC39" s="138">
        <x:v>17</x:v>
      </x:c>
      <x:c r="AD39" s="139"/>
      <x:c r="AE39" s="139"/>
      <x:c r="AF39" s="139"/>
      <x:c r="AG39" s="139"/>
      <x:c r="AH39" s="123">
        <x:f t="shared" si="8"/>
        <x:v>17</x:v>
      </x:c>
      <x:c r="AI39" s="138">
        <x:v>17</x:v>
      </x:c>
      <x:c r="AJ39" s="139"/>
      <x:c r="AK39" s="139"/>
      <x:c r="AL39" s="139"/>
      <x:c r="AM39" s="139"/>
      <x:c r="AN39" s="123">
        <x:f t="shared" si="9"/>
        <x:v>17</x:v>
      </x:c>
      <x:c r="AO39" s="138">
        <x:v>17</x:v>
      </x:c>
      <x:c r="AP39" s="139"/>
      <x:c r="AQ39" s="139"/>
      <x:c r="AR39" s="139"/>
      <x:c r="AS39" s="139"/>
      <x:c r="AT39" s="123">
        <x:f t="shared" si="10"/>
        <x:v>17</x:v>
      </x:c>
      <x:c r="AU39" s="138">
        <x:v>17</x:v>
      </x:c>
      <x:c r="AV39" s="139"/>
      <x:c r="AW39" s="139"/>
      <x:c r="AX39" s="139"/>
      <x:c r="AY39" s="139"/>
      <x:c r="AZ39" s="123">
        <x:f t="shared" si="11"/>
        <x:v>17</x:v>
      </x:c>
      <x:c r="BA39" s="138">
        <x:v>17</x:v>
      </x:c>
      <x:c r="BB39" s="139"/>
      <x:c r="BC39" s="139"/>
      <x:c r="BD39" s="139"/>
      <x:c r="BE39" s="139"/>
      <x:c r="BF39" s="123">
        <x:f t="shared" si="12"/>
        <x:v>17</x:v>
      </x:c>
      <x:c r="BG39" s="138">
        <x:v>17</x:v>
      </x:c>
      <x:c r="BH39" s="139"/>
      <x:c r="BI39" s="139"/>
      <x:c r="BJ39" s="139"/>
      <x:c r="BK39" s="139"/>
      <x:c r="BL39" s="123">
        <x:f t="shared" si="13"/>
        <x:v>17</x:v>
      </x:c>
      <x:c r="BM39" s="138">
        <x:v>17</x:v>
      </x:c>
      <x:c r="BN39" s="139"/>
      <x:c r="BO39" s="139"/>
      <x:c r="BP39" s="139"/>
      <x:c r="BQ39" s="139"/>
      <x:c r="BR39" s="123">
        <x:f t="shared" si="14"/>
        <x:v>17</x:v>
      </x:c>
      <x:c r="BS39" s="138">
        <x:v>17</x:v>
      </x:c>
      <x:c r="BT39" s="139"/>
      <x:c r="BU39" s="139"/>
      <x:c r="BV39" s="139"/>
      <x:c r="BW39" s="139"/>
      <x:c r="BX39" s="123">
        <x:f t="shared" si="15"/>
        <x:v>17</x:v>
      </x:c>
      <x:c r="BY39" s="138">
        <x:v>17</x:v>
      </x:c>
      <x:c r="BZ39" s="139"/>
      <x:c r="CA39" s="139"/>
      <x:c r="CB39" s="139"/>
      <x:c r="CC39" s="139"/>
      <x:c r="CD39" s="123">
        <x:f t="shared" si="16"/>
        <x:v>17</x:v>
      </x:c>
      <x:c r="CE39" s="138">
        <x:v>17</x:v>
      </x:c>
      <x:c r="CF39" s="139"/>
      <x:c r="CG39" s="139"/>
      <x:c r="CH39" s="139"/>
      <x:c r="CI39" s="139"/>
      <x:c r="CJ39" s="123">
        <x:f t="shared" si="17"/>
        <x:v>17</x:v>
      </x:c>
      <x:c r="CK39" s="144"/>
      <x:c r="CL39" s="116"/>
      <x:c r="CM39" s="116"/>
      <x:c r="CN39" s="116"/>
      <x:c r="CO39" s="116"/>
      <x:c r="CP39" s="123">
        <x:f t="shared" si="18"/>
        <x:v>0</x:v>
      </x:c>
      <x:c r="CQ39" s="144"/>
      <x:c r="CR39" s="116"/>
      <x:c r="CS39" s="116"/>
      <x:c r="CT39" s="116"/>
      <x:c r="CU39" s="116"/>
      <x:c r="CV39" s="123">
        <x:f t="shared" si="19"/>
        <x:v>0</x:v>
      </x:c>
      <x:c r="CW39" s="127"/>
      <x:c r="CX39" s="115"/>
      <x:c r="CY39" s="115"/>
      <x:c r="CZ39" s="115"/>
      <x:c r="DA39" s="115"/>
      <x:c r="DB39" s="123">
        <x:f t="shared" si="20"/>
        <x:v>0</x:v>
      </x:c>
      <x:c r="DC39" s="127"/>
      <x:c r="DD39" s="115"/>
      <x:c r="DE39" s="115"/>
      <x:c r="DF39" s="115"/>
      <x:c r="DG39" s="115"/>
      <x:c r="DH39" s="123">
        <x:f t="shared" si="21"/>
        <x:v>0</x:v>
      </x:c>
      <x:c r="DI39" s="127"/>
      <x:c r="DJ39" s="115"/>
      <x:c r="DK39" s="115"/>
      <x:c r="DL39" s="115"/>
      <x:c r="DM39" s="115"/>
      <x:c r="DN39" s="123">
        <x:f t="shared" si="22"/>
        <x:v>0</x:v>
      </x:c>
      <x:c r="DO39" s="127"/>
      <x:c r="DP39" s="115"/>
      <x:c r="DQ39" s="115"/>
      <x:c r="DR39" s="115"/>
      <x:c r="DS39" s="115"/>
      <x:c r="DT39" s="123">
        <x:f t="shared" si="23"/>
        <x:v>0</x:v>
      </x:c>
      <x:c r="DU39" s="127"/>
      <x:c r="DV39" s="115"/>
      <x:c r="DW39" s="115"/>
      <x:c r="DX39" s="115"/>
      <x:c r="DY39" s="115"/>
      <x:c r="DZ39" s="123">
        <x:f t="shared" si="24"/>
        <x:v>0</x:v>
      </x:c>
      <x:c r="EA39" s="127"/>
      <x:c r="EB39" s="115"/>
      <x:c r="EC39" s="115"/>
      <x:c r="ED39" s="115"/>
      <x:c r="EE39" s="115"/>
      <x:c r="EF39" s="123">
        <x:f t="shared" si="25"/>
        <x:v>0</x:v>
      </x:c>
      <x:c r="EG39" s="146">
        <x:f t="shared" si="26"/>
        <x:v>204</x:v>
      </x:c>
      <x:c r="EH39" s="73" t="s">
        <x:v>37</x:v>
      </x:c>
      <x:c r="EI39" s="73" t="s">
        <x:v>176</x:v>
      </x:c>
      <x:c r="EJ39" s="142"/>
    </x:row>
    <x:row r="40" ht="54.75" customHeight="1">
      <x:c r="A40" s="154" t="s">
        <x:v>328</x:v>
      </x:c>
      <x:c r="B40" s="112" t="s">
        <x:v>284</x:v>
      </x:c>
      <x:c r="C40" s="155" t="s">
        <x:v>172</x:v>
      </x:c>
      <x:c r="D40" s="155" t="s">
        <x:v>285</x:v>
      </x:c>
      <x:c r="E40" s="155" t="s">
        <x:v>286</x:v>
      </x:c>
      <x:c r="F40" s="156">
        <x:f t="shared" si="5"/>
        <x:v>4</x:v>
      </x:c>
      <x:c r="G40" s="157">
        <x:v>4</x:v>
      </x:c>
      <x:c r="H40" s="158"/>
      <x:c r="I40" s="158"/>
      <x:c r="J40" s="158"/>
      <x:c r="K40" s="158"/>
      <x:c r="L40" s="159">
        <x:v>0.47916666666666669</x:v>
      </x:c>
      <x:c r="M40" s="155" t="s">
        <x:v>287</x:v>
      </x:c>
      <x:c r="N40" s="155"/>
      <x:c r="O40" s="160" t="s">
        <x:v>106</x:v>
      </x:c>
      <x:c r="P40" s="161" t="s">
        <x:v>60</x:v>
      </x:c>
      <x:c r="Q40" s="157">
        <x:v>4</x:v>
      </x:c>
      <x:c r="R40" s="165"/>
      <x:c r="S40" s="165"/>
      <x:c r="T40" s="165"/>
      <x:c r="U40" s="165"/>
      <x:c r="V40" s="164">
        <x:f t="shared" si="6"/>
        <x:v>4</x:v>
      </x:c>
      <x:c r="W40" s="157">
        <x:v>4</x:v>
      </x:c>
      <x:c r="X40" s="179"/>
      <x:c r="Y40" s="179"/>
      <x:c r="Z40" s="179"/>
      <x:c r="AA40" s="179"/>
      <x:c r="AB40" s="164">
        <x:f t="shared" si="7"/>
        <x:v>4</x:v>
      </x:c>
      <x:c r="AC40" s="157">
        <x:v>4</x:v>
      </x:c>
      <x:c r="AD40" s="179"/>
      <x:c r="AE40" s="179"/>
      <x:c r="AF40" s="179"/>
      <x:c r="AG40" s="179"/>
      <x:c r="AH40" s="164">
        <x:f t="shared" si="8"/>
        <x:v>4</x:v>
      </x:c>
      <x:c r="AI40" s="157">
        <x:v>4</x:v>
      </x:c>
      <x:c r="AJ40" s="179"/>
      <x:c r="AK40" s="179"/>
      <x:c r="AL40" s="179"/>
      <x:c r="AM40" s="179"/>
      <x:c r="AN40" s="164">
        <x:f t="shared" si="9"/>
        <x:v>4</x:v>
      </x:c>
      <x:c r="AO40" s="157">
        <x:v>4</x:v>
      </x:c>
      <x:c r="AP40" s="179"/>
      <x:c r="AQ40" s="179"/>
      <x:c r="AR40" s="179"/>
      <x:c r="AS40" s="179"/>
      <x:c r="AT40" s="164">
        <x:f t="shared" si="10"/>
        <x:v>4</x:v>
      </x:c>
      <x:c r="AU40" s="157">
        <x:v>4</x:v>
      </x:c>
      <x:c r="AV40" s="179"/>
      <x:c r="AW40" s="179"/>
      <x:c r="AX40" s="179"/>
      <x:c r="AY40" s="179"/>
      <x:c r="AZ40" s="164">
        <x:f t="shared" si="11"/>
        <x:v>4</x:v>
      </x:c>
      <x:c r="BA40" s="157">
        <x:v>4</x:v>
      </x:c>
      <x:c r="BB40" s="179"/>
      <x:c r="BC40" s="179"/>
      <x:c r="BD40" s="179"/>
      <x:c r="BE40" s="179"/>
      <x:c r="BF40" s="164">
        <x:f t="shared" si="12"/>
        <x:v>4</x:v>
      </x:c>
      <x:c r="BG40" s="157">
        <x:v>4</x:v>
      </x:c>
      <x:c r="BH40" s="179"/>
      <x:c r="BI40" s="179"/>
      <x:c r="BJ40" s="179"/>
      <x:c r="BK40" s="179"/>
      <x:c r="BL40" s="164">
        <x:f t="shared" si="13"/>
        <x:v>4</x:v>
      </x:c>
      <x:c r="BM40" s="157">
        <x:v>4</x:v>
      </x:c>
      <x:c r="BN40" s="179"/>
      <x:c r="BO40" s="179"/>
      <x:c r="BP40" s="179"/>
      <x:c r="BQ40" s="179"/>
      <x:c r="BR40" s="164">
        <x:f t="shared" si="14"/>
        <x:v>4</x:v>
      </x:c>
      <x:c r="BS40" s="157">
        <x:v>4</x:v>
      </x:c>
      <x:c r="BT40" s="179"/>
      <x:c r="BU40" s="179"/>
      <x:c r="BV40" s="179"/>
      <x:c r="BW40" s="179"/>
      <x:c r="BX40" s="164">
        <x:f t="shared" si="15"/>
        <x:v>4</x:v>
      </x:c>
      <x:c r="BY40" s="157">
        <x:v>4</x:v>
      </x:c>
      <x:c r="BZ40" s="179"/>
      <x:c r="CA40" s="179"/>
      <x:c r="CB40" s="179"/>
      <x:c r="CC40" s="179"/>
      <x:c r="CD40" s="164">
        <x:f t="shared" si="16"/>
        <x:v>4</x:v>
      </x:c>
      <x:c r="CE40" s="157">
        <x:v>4</x:v>
      </x:c>
      <x:c r="CF40" s="179"/>
      <x:c r="CG40" s="179"/>
      <x:c r="CH40" s="179"/>
      <x:c r="CI40" s="179"/>
      <x:c r="CJ40" s="164">
        <x:f t="shared" si="17"/>
        <x:v>4</x:v>
      </x:c>
      <x:c r="CK40" s="178"/>
      <x:c r="CL40" s="179"/>
      <x:c r="CM40" s="179"/>
      <x:c r="CN40" s="179"/>
      <x:c r="CO40" s="179"/>
      <x:c r="CP40" s="164">
        <x:f t="shared" si="18"/>
        <x:v>0</x:v>
      </x:c>
      <x:c r="CQ40" s="178"/>
      <x:c r="CR40" s="179"/>
      <x:c r="CS40" s="179"/>
      <x:c r="CT40" s="179"/>
      <x:c r="CU40" s="179"/>
      <x:c r="CV40" s="164">
        <x:f t="shared" si="19"/>
        <x:v>0</x:v>
      </x:c>
      <x:c r="CW40" s="181"/>
      <x:c r="CX40" s="165"/>
      <x:c r="CY40" s="165"/>
      <x:c r="CZ40" s="165"/>
      <x:c r="DA40" s="165"/>
      <x:c r="DB40" s="164">
        <x:f t="shared" si="20"/>
        <x:v>0</x:v>
      </x:c>
      <x:c r="DC40" s="181"/>
      <x:c r="DD40" s="165"/>
      <x:c r="DE40" s="165"/>
      <x:c r="DF40" s="165"/>
      <x:c r="DG40" s="165"/>
      <x:c r="DH40" s="164">
        <x:f t="shared" si="21"/>
        <x:v>0</x:v>
      </x:c>
      <x:c r="DI40" s="181"/>
      <x:c r="DJ40" s="165"/>
      <x:c r="DK40" s="165"/>
      <x:c r="DL40" s="165"/>
      <x:c r="DM40" s="165"/>
      <x:c r="DN40" s="164">
        <x:f t="shared" si="22"/>
        <x:v>0</x:v>
      </x:c>
      <x:c r="DO40" s="181"/>
      <x:c r="DP40" s="165"/>
      <x:c r="DQ40" s="165"/>
      <x:c r="DR40" s="165"/>
      <x:c r="DS40" s="165"/>
      <x:c r="DT40" s="164">
        <x:f t="shared" si="23"/>
        <x:v>0</x:v>
      </x:c>
      <x:c r="DU40" s="181"/>
      <x:c r="DV40" s="165"/>
      <x:c r="DW40" s="165"/>
      <x:c r="DX40" s="165"/>
      <x:c r="DY40" s="165"/>
      <x:c r="DZ40" s="164">
        <x:f t="shared" si="24"/>
        <x:v>0</x:v>
      </x:c>
      <x:c r="EA40" s="181"/>
      <x:c r="EB40" s="165"/>
      <x:c r="EC40" s="165"/>
      <x:c r="ED40" s="165"/>
      <x:c r="EE40" s="165"/>
      <x:c r="EF40" s="164">
        <x:f t="shared" si="25"/>
        <x:v>0</x:v>
      </x:c>
      <x:c r="EG40" s="167">
        <x:f t="shared" si="26"/>
        <x:v>48</x:v>
      </x:c>
      <x:c r="EH40" s="168" t="s">
        <x:v>288</x:v>
      </x:c>
      <x:c r="EI40" s="169" t="s">
        <x:v>176</x:v>
      </x:c>
      <x:c r="EJ40" s="171"/>
    </x:row>
    <x:row r="41" ht="54.75" customHeight="1">
      <x:c r="A41" s="76">
        <x:v>25</x:v>
      </x:c>
      <x:c r="B41" s="143" t="s">
        <x:v>177</x:v>
      </x:c>
      <x:c r="C41" s="73" t="s">
        <x:v>163</x:v>
      </x:c>
      <x:c r="D41" s="73" t="s">
        <x:v>178</x:v>
      </x:c>
      <x:c r="E41" s="73" t="s">
        <x:v>179</x:v>
      </x:c>
      <x:c r="F41" s="119">
        <x:f t="shared" si="5"/>
        <x:v>85</x:v>
      </x:c>
      <x:c r="G41" s="138">
        <x:v>23</x:v>
      </x:c>
      <x:c r="H41" s="139">
        <x:v>22</x:v>
      </x:c>
      <x:c r="I41" s="139">
        <x:v>19</x:v>
      </x:c>
      <x:c r="J41" s="139"/>
      <x:c r="K41" s="139">
        <x:v>21</x:v>
      </x:c>
      <x:c r="L41" s="74">
        <x:v>0.47916666666666669</x:v>
      </x:c>
      <x:c r="M41" s="73" t="s">
        <x:v>180</x:v>
      </x:c>
      <x:c r="N41" s="73"/>
      <x:c r="O41" s="75" t="s">
        <x:v>181</x:v>
      </x:c>
      <x:c r="P41" s="85" t="s">
        <x:v>29</x:v>
      </x:c>
      <x:c r="Q41" s="138">
        <x:v>23</x:v>
      </x:c>
      <x:c r="R41" s="139">
        <x:v>22</x:v>
      </x:c>
      <x:c r="S41" s="139">
        <x:v>19</x:v>
      </x:c>
      <x:c r="T41" s="139"/>
      <x:c r="U41" s="139">
        <x:v>21</x:v>
      </x:c>
      <x:c r="V41" s="123">
        <x:f t="shared" si="6"/>
        <x:v>85</x:v>
      </x:c>
      <x:c r="W41" s="138">
        <x:v>23</x:v>
      </x:c>
      <x:c r="X41" s="139">
        <x:v>22</x:v>
      </x:c>
      <x:c r="Y41" s="139">
        <x:v>19</x:v>
      </x:c>
      <x:c r="Z41" s="139"/>
      <x:c r="AA41" s="139">
        <x:v>21</x:v>
      </x:c>
      <x:c r="AB41" s="123">
        <x:f t="shared" si="7"/>
        <x:v>85</x:v>
      </x:c>
      <x:c r="AC41" s="138">
        <x:v>23</x:v>
      </x:c>
      <x:c r="AD41" s="139">
        <x:v>22</x:v>
      </x:c>
      <x:c r="AE41" s="139">
        <x:v>19</x:v>
      </x:c>
      <x:c r="AF41" s="139"/>
      <x:c r="AG41" s="139">
        <x:v>21</x:v>
      </x:c>
      <x:c r="AH41" s="123">
        <x:f t="shared" si="8"/>
        <x:v>85</x:v>
      </x:c>
      <x:c r="AI41" s="138">
        <x:v>23</x:v>
      </x:c>
      <x:c r="AJ41" s="139">
        <x:v>22</x:v>
      </x:c>
      <x:c r="AK41" s="139">
        <x:v>19</x:v>
      </x:c>
      <x:c r="AL41" s="139"/>
      <x:c r="AM41" s="139">
        <x:v>21</x:v>
      </x:c>
      <x:c r="AN41" s="123">
        <x:f t="shared" si="9"/>
        <x:v>85</x:v>
      </x:c>
      <x:c r="AO41" s="138">
        <x:v>23</x:v>
      </x:c>
      <x:c r="AP41" s="139">
        <x:v>22</x:v>
      </x:c>
      <x:c r="AQ41" s="139">
        <x:v>19</x:v>
      </x:c>
      <x:c r="AR41" s="139"/>
      <x:c r="AS41" s="139">
        <x:v>21</x:v>
      </x:c>
      <x:c r="AT41" s="123">
        <x:f t="shared" si="10"/>
        <x:v>85</x:v>
      </x:c>
      <x:c r="AU41" s="138">
        <x:v>23</x:v>
      </x:c>
      <x:c r="AV41" s="139">
        <x:v>22</x:v>
      </x:c>
      <x:c r="AW41" s="139">
        <x:v>19</x:v>
      </x:c>
      <x:c r="AX41" s="139"/>
      <x:c r="AY41" s="139">
        <x:v>21</x:v>
      </x:c>
      <x:c r="AZ41" s="123">
        <x:f t="shared" si="11"/>
        <x:v>85</x:v>
      </x:c>
      <x:c r="BA41" s="138">
        <x:v>23</x:v>
      </x:c>
      <x:c r="BB41" s="139">
        <x:v>22</x:v>
      </x:c>
      <x:c r="BC41" s="139">
        <x:v>19</x:v>
      </x:c>
      <x:c r="BD41" s="139"/>
      <x:c r="BE41" s="139">
        <x:v>21</x:v>
      </x:c>
      <x:c r="BF41" s="123">
        <x:f t="shared" si="12"/>
        <x:v>85</x:v>
      </x:c>
      <x:c r="BG41" s="138">
        <x:v>23</x:v>
      </x:c>
      <x:c r="BH41" s="139">
        <x:v>22</x:v>
      </x:c>
      <x:c r="BI41" s="139">
        <x:v>19</x:v>
      </x:c>
      <x:c r="BJ41" s="139"/>
      <x:c r="BK41" s="139">
        <x:v>21</x:v>
      </x:c>
      <x:c r="BL41" s="123">
        <x:f t="shared" si="13"/>
        <x:v>85</x:v>
      </x:c>
      <x:c r="BM41" s="138">
        <x:v>23</x:v>
      </x:c>
      <x:c r="BN41" s="139">
        <x:v>22</x:v>
      </x:c>
      <x:c r="BO41" s="139">
        <x:v>19</x:v>
      </x:c>
      <x:c r="BP41" s="139"/>
      <x:c r="BQ41" s="139">
        <x:v>21</x:v>
      </x:c>
      <x:c r="BR41" s="123">
        <x:f t="shared" si="14"/>
        <x:v>85</x:v>
      </x:c>
      <x:c r="BS41" s="138">
        <x:v>23</x:v>
      </x:c>
      <x:c r="BT41" s="139">
        <x:v>22</x:v>
      </x:c>
      <x:c r="BU41" s="139">
        <x:v>19</x:v>
      </x:c>
      <x:c r="BV41" s="139"/>
      <x:c r="BW41" s="139">
        <x:v>21</x:v>
      </x:c>
      <x:c r="BX41" s="123">
        <x:f t="shared" si="15"/>
        <x:v>85</x:v>
      </x:c>
      <x:c r="BY41" s="138">
        <x:v>23</x:v>
      </x:c>
      <x:c r="BZ41" s="139">
        <x:v>22</x:v>
      </x:c>
      <x:c r="CA41" s="139">
        <x:v>19</x:v>
      </x:c>
      <x:c r="CB41" s="139"/>
      <x:c r="CC41" s="139">
        <x:v>21</x:v>
      </x:c>
      <x:c r="CD41" s="123">
        <x:f t="shared" si="16"/>
        <x:v>85</x:v>
      </x:c>
      <x:c r="CE41" s="138">
        <x:v>23</x:v>
      </x:c>
      <x:c r="CF41" s="139">
        <x:v>22</x:v>
      </x:c>
      <x:c r="CG41" s="139">
        <x:v>19</x:v>
      </x:c>
      <x:c r="CH41" s="139"/>
      <x:c r="CI41" s="139">
        <x:v>21</x:v>
      </x:c>
      <x:c r="CJ41" s="123">
        <x:f t="shared" si="17"/>
        <x:v>85</x:v>
      </x:c>
      <x:c r="CK41" s="138">
        <x:v>23</x:v>
      </x:c>
      <x:c r="CL41" s="139">
        <x:v>22</x:v>
      </x:c>
      <x:c r="CM41" s="139">
        <x:v>19</x:v>
      </x:c>
      <x:c r="CN41" s="139"/>
      <x:c r="CO41" s="139">
        <x:v>21</x:v>
      </x:c>
      <x:c r="CP41" s="123">
        <x:f t="shared" si="18"/>
        <x:v>85</x:v>
      </x:c>
      <x:c r="CQ41" s="138">
        <x:v>23</x:v>
      </x:c>
      <x:c r="CR41" s="139">
        <x:v>22</x:v>
      </x:c>
      <x:c r="CS41" s="139">
        <x:v>19</x:v>
      </x:c>
      <x:c r="CT41" s="139"/>
      <x:c r="CU41" s="139">
        <x:v>21</x:v>
      </x:c>
      <x:c r="CV41" s="123">
        <x:f t="shared" si="19"/>
        <x:v>85</x:v>
      </x:c>
      <x:c r="CW41" s="138">
        <x:v>23</x:v>
      </x:c>
      <x:c r="CX41" s="139">
        <x:v>22</x:v>
      </x:c>
      <x:c r="CY41" s="139">
        <x:v>19</x:v>
      </x:c>
      <x:c r="CZ41" s="139"/>
      <x:c r="DA41" s="139">
        <x:v>21</x:v>
      </x:c>
      <x:c r="DB41" s="123">
        <x:f t="shared" si="20"/>
        <x:v>85</x:v>
      </x:c>
      <x:c r="DC41" s="138">
        <x:v>23</x:v>
      </x:c>
      <x:c r="DD41" s="139">
        <x:v>22</x:v>
      </x:c>
      <x:c r="DE41" s="139">
        <x:v>19</x:v>
      </x:c>
      <x:c r="DF41" s="139"/>
      <x:c r="DG41" s="139">
        <x:v>21</x:v>
      </x:c>
      <x:c r="DH41" s="123">
        <x:f t="shared" si="21"/>
        <x:v>85</x:v>
      </x:c>
      <x:c r="DI41" s="138">
        <x:v>23</x:v>
      </x:c>
      <x:c r="DJ41" s="139">
        <x:v>22</x:v>
      </x:c>
      <x:c r="DK41" s="139">
        <x:v>19</x:v>
      </x:c>
      <x:c r="DL41" s="139"/>
      <x:c r="DM41" s="139">
        <x:v>21</x:v>
      </x:c>
      <x:c r="DN41" s="123">
        <x:f t="shared" si="22"/>
        <x:v>85</x:v>
      </x:c>
      <x:c r="DO41" s="138">
        <x:v>23</x:v>
      </x:c>
      <x:c r="DP41" s="139">
        <x:v>22</x:v>
      </x:c>
      <x:c r="DQ41" s="139">
        <x:v>19</x:v>
      </x:c>
      <x:c r="DR41" s="139"/>
      <x:c r="DS41" s="139">
        <x:v>21</x:v>
      </x:c>
      <x:c r="DT41" s="123">
        <x:f t="shared" si="23"/>
        <x:v>85</x:v>
      </x:c>
      <x:c r="DU41" s="138">
        <x:v>23</x:v>
      </x:c>
      <x:c r="DV41" s="139">
        <x:v>22</x:v>
      </x:c>
      <x:c r="DW41" s="139">
        <x:v>19</x:v>
      </x:c>
      <x:c r="DX41" s="139"/>
      <x:c r="DY41" s="139">
        <x:v>21</x:v>
      </x:c>
      <x:c r="DZ41" s="123">
        <x:f t="shared" si="24"/>
        <x:v>85</x:v>
      </x:c>
      <x:c r="EA41" s="138">
        <x:v>23</x:v>
      </x:c>
      <x:c r="EB41" s="139">
        <x:v>22</x:v>
      </x:c>
      <x:c r="EC41" s="139">
        <x:v>19</x:v>
      </x:c>
      <x:c r="ED41" s="139"/>
      <x:c r="EE41" s="139">
        <x:v>21</x:v>
      </x:c>
      <x:c r="EF41" s="123">
        <x:f t="shared" si="25"/>
        <x:v>85</x:v>
      </x:c>
      <x:c r="EG41" s="146">
        <x:f t="shared" si="26"/>
        <x:v>1700</x:v>
      </x:c>
      <x:c r="EH41" s="73" t="s">
        <x:v>37</x:v>
      </x:c>
      <x:c r="EI41" s="73" t="s">
        <x:v>182</x:v>
      </x:c>
      <x:c r="EJ41" s="142"/>
    </x:row>
    <x:row r="42" ht="54.75" customHeight="1">
      <x:c r="A42" s="76">
        <x:v>26</x:v>
      </x:c>
      <x:c r="B42" s="143" t="s">
        <x:v>183</x:v>
      </x:c>
      <x:c r="C42" s="73" t="s">
        <x:v>184</x:v>
      </x:c>
      <x:c r="D42" s="73" t="s">
        <x:v>185</x:v>
      </x:c>
      <x:c r="E42" s="73" t="s">
        <x:v>186</x:v>
      </x:c>
      <x:c r="F42" s="119">
        <x:f t="shared" si="5"/>
        <x:v>32</x:v>
      </x:c>
      <x:c r="G42" s="138">
        <x:v>15</x:v>
      </x:c>
      <x:c r="H42" s="139">
        <x:v>17</x:v>
      </x:c>
      <x:c r="I42" s="139"/>
      <x:c r="J42" s="139"/>
      <x:c r="K42" s="139"/>
      <x:c r="L42" s="74">
        <x:v>0.4861111111111111</x:v>
      </x:c>
      <x:c r="M42" s="73" t="s">
        <x:v>187</x:v>
      </x:c>
      <x:c r="N42" s="73"/>
      <x:c r="O42" s="75" t="s">
        <x:v>106</x:v>
      </x:c>
      <x:c r="P42" s="85" t="s">
        <x:v>29</x:v>
      </x:c>
      <x:c r="Q42" s="138">
        <x:v>15</x:v>
      </x:c>
      <x:c r="R42" s="139">
        <x:v>17</x:v>
      </x:c>
      <x:c r="S42" s="139"/>
      <x:c r="T42" s="139"/>
      <x:c r="U42" s="139"/>
      <x:c r="V42" s="123">
        <x:f t="shared" si="6"/>
        <x:v>32</x:v>
      </x:c>
      <x:c r="W42" s="138">
        <x:v>15</x:v>
      </x:c>
      <x:c r="X42" s="139">
        <x:v>17</x:v>
      </x:c>
      <x:c r="Y42" s="139"/>
      <x:c r="Z42" s="139"/>
      <x:c r="AA42" s="139"/>
      <x:c r="AB42" s="123">
        <x:f t="shared" si="7"/>
        <x:v>32</x:v>
      </x:c>
      <x:c r="AC42" s="138">
        <x:v>15</x:v>
      </x:c>
      <x:c r="AD42" s="139">
        <x:v>17</x:v>
      </x:c>
      <x:c r="AE42" s="139"/>
      <x:c r="AF42" s="139"/>
      <x:c r="AG42" s="139"/>
      <x:c r="AH42" s="123">
        <x:f t="shared" si="8"/>
        <x:v>32</x:v>
      </x:c>
      <x:c r="AI42" s="138">
        <x:v>15</x:v>
      </x:c>
      <x:c r="AJ42" s="139">
        <x:v>17</x:v>
      </x:c>
      <x:c r="AK42" s="139"/>
      <x:c r="AL42" s="139"/>
      <x:c r="AM42" s="139"/>
      <x:c r="AN42" s="123">
        <x:f t="shared" si="9"/>
        <x:v>32</x:v>
      </x:c>
      <x:c r="AO42" s="138">
        <x:v>15</x:v>
      </x:c>
      <x:c r="AP42" s="139">
        <x:v>17</x:v>
      </x:c>
      <x:c r="AQ42" s="139"/>
      <x:c r="AR42" s="139"/>
      <x:c r="AS42" s="139"/>
      <x:c r="AT42" s="123">
        <x:f t="shared" si="10"/>
        <x:v>32</x:v>
      </x:c>
      <x:c r="AU42" s="138">
        <x:v>15</x:v>
      </x:c>
      <x:c r="AV42" s="139">
        <x:v>17</x:v>
      </x:c>
      <x:c r="AW42" s="139"/>
      <x:c r="AX42" s="139"/>
      <x:c r="AY42" s="139"/>
      <x:c r="AZ42" s="123">
        <x:f t="shared" si="11"/>
        <x:v>32</x:v>
      </x:c>
      <x:c r="BA42" s="138">
        <x:v>15</x:v>
      </x:c>
      <x:c r="BB42" s="139">
        <x:v>17</x:v>
      </x:c>
      <x:c r="BC42" s="139"/>
      <x:c r="BD42" s="139"/>
      <x:c r="BE42" s="139"/>
      <x:c r="BF42" s="123">
        <x:f t="shared" si="12"/>
        <x:v>32</x:v>
      </x:c>
      <x:c r="BG42" s="138">
        <x:v>15</x:v>
      </x:c>
      <x:c r="BH42" s="139">
        <x:v>17</x:v>
      </x:c>
      <x:c r="BI42" s="139"/>
      <x:c r="BJ42" s="139"/>
      <x:c r="BK42" s="139"/>
      <x:c r="BL42" s="123">
        <x:f t="shared" si="13"/>
        <x:v>32</x:v>
      </x:c>
      <x:c r="BM42" s="138">
        <x:v>15</x:v>
      </x:c>
      <x:c r="BN42" s="139">
        <x:v>17</x:v>
      </x:c>
      <x:c r="BO42" s="139"/>
      <x:c r="BP42" s="139"/>
      <x:c r="BQ42" s="139"/>
      <x:c r="BR42" s="123">
        <x:f t="shared" si="14"/>
        <x:v>32</x:v>
      </x:c>
      <x:c r="BS42" s="138">
        <x:v>15</x:v>
      </x:c>
      <x:c r="BT42" s="139">
        <x:v>17</x:v>
      </x:c>
      <x:c r="BU42" s="139"/>
      <x:c r="BV42" s="139"/>
      <x:c r="BW42" s="139"/>
      <x:c r="BX42" s="123">
        <x:f t="shared" si="15"/>
        <x:v>32</x:v>
      </x:c>
      <x:c r="BY42" s="138">
        <x:v>15</x:v>
      </x:c>
      <x:c r="BZ42" s="139">
        <x:v>17</x:v>
      </x:c>
      <x:c r="CA42" s="139"/>
      <x:c r="CB42" s="139"/>
      <x:c r="CC42" s="139"/>
      <x:c r="CD42" s="123">
        <x:f t="shared" si="16"/>
        <x:v>32</x:v>
      </x:c>
      <x:c r="CE42" s="138">
        <x:v>15</x:v>
      </x:c>
      <x:c r="CF42" s="139">
        <x:v>17</x:v>
      </x:c>
      <x:c r="CG42" s="139"/>
      <x:c r="CH42" s="139"/>
      <x:c r="CI42" s="139"/>
      <x:c r="CJ42" s="123">
        <x:f t="shared" si="17"/>
        <x:v>32</x:v>
      </x:c>
      <x:c r="CK42" s="138">
        <x:v>15</x:v>
      </x:c>
      <x:c r="CL42" s="139">
        <x:v>17</x:v>
      </x:c>
      <x:c r="CM42" s="139"/>
      <x:c r="CN42" s="139"/>
      <x:c r="CO42" s="139"/>
      <x:c r="CP42" s="123">
        <x:f t="shared" si="18"/>
        <x:v>32</x:v>
      </x:c>
      <x:c r="CQ42" s="127"/>
      <x:c r="CR42" s="115"/>
      <x:c r="CS42" s="115"/>
      <x:c r="CT42" s="115"/>
      <x:c r="CU42" s="115"/>
      <x:c r="CV42" s="123">
        <x:f t="shared" si="19"/>
        <x:v>0</x:v>
      </x:c>
      <x:c r="CW42" s="127"/>
      <x:c r="CX42" s="115"/>
      <x:c r="CY42" s="115"/>
      <x:c r="CZ42" s="115"/>
      <x:c r="DA42" s="115"/>
      <x:c r="DB42" s="123">
        <x:f t="shared" si="20"/>
        <x:v>0</x:v>
      </x:c>
      <x:c r="DC42" s="127"/>
      <x:c r="DD42" s="115"/>
      <x:c r="DE42" s="115"/>
      <x:c r="DF42" s="115"/>
      <x:c r="DG42" s="115"/>
      <x:c r="DH42" s="123">
        <x:f t="shared" si="21"/>
        <x:v>0</x:v>
      </x:c>
      <x:c r="DI42" s="127"/>
      <x:c r="DJ42" s="115"/>
      <x:c r="DK42" s="115"/>
      <x:c r="DL42" s="115"/>
      <x:c r="DM42" s="115"/>
      <x:c r="DN42" s="123">
        <x:f t="shared" si="22"/>
        <x:v>0</x:v>
      </x:c>
      <x:c r="DO42" s="144"/>
      <x:c r="DP42" s="116"/>
      <x:c r="DQ42" s="116"/>
      <x:c r="DR42" s="116"/>
      <x:c r="DS42" s="116"/>
      <x:c r="DT42" s="123">
        <x:f t="shared" si="23"/>
        <x:v>0</x:v>
      </x:c>
      <x:c r="DU42" s="144"/>
      <x:c r="DV42" s="116"/>
      <x:c r="DW42" s="116"/>
      <x:c r="DX42" s="116"/>
      <x:c r="DY42" s="116"/>
      <x:c r="DZ42" s="123">
        <x:f t="shared" si="24"/>
        <x:v>0</x:v>
      </x:c>
      <x:c r="EA42" s="144"/>
      <x:c r="EB42" s="116"/>
      <x:c r="EC42" s="116"/>
      <x:c r="ED42" s="116"/>
      <x:c r="EE42" s="116"/>
      <x:c r="EF42" s="123">
        <x:f t="shared" si="25"/>
        <x:v>0</x:v>
      </x:c>
      <x:c r="EG42" s="146">
        <x:f t="shared" si="26"/>
        <x:v>416</x:v>
      </x:c>
      <x:c r="EH42" s="73" t="s">
        <x:v>45</x:v>
      </x:c>
      <x:c r="EI42" s="73" t="s">
        <x:v>188</x:v>
      </x:c>
      <x:c r="EJ42" s="142"/>
    </x:row>
    <x:row r="43" ht="54.75" customHeight="1">
      <x:c r="A43" s="76">
        <x:v>27</x:v>
      </x:c>
      <x:c r="B43" s="143" t="s">
        <x:v>189</x:v>
      </x:c>
      <x:c r="C43" s="73" t="s">
        <x:v>190</x:v>
      </x:c>
      <x:c r="D43" s="73" t="s">
        <x:v>191</x:v>
      </x:c>
      <x:c r="E43" s="73" t="s">
        <x:v>192</x:v>
      </x:c>
      <x:c r="F43" s="119">
        <x:f t="shared" si="5"/>
        <x:v>53</x:v>
      </x:c>
      <x:c r="G43" s="138">
        <x:v>19</x:v>
      </x:c>
      <x:c r="H43" s="139">
        <x:v>18</x:v>
      </x:c>
      <x:c r="I43" s="139">
        <x:v>16</x:v>
      </x:c>
      <x:c r="J43" s="139"/>
      <x:c r="K43" s="139"/>
      <x:c r="L43" s="74">
        <x:v>0.47916666666666669</x:v>
      </x:c>
      <x:c r="M43" s="73" t="s">
        <x:v>27</x:v>
      </x:c>
      <x:c r="N43" s="73"/>
      <x:c r="O43" s="75" t="s">
        <x:v>28</x:v>
      </x:c>
      <x:c r="P43" s="85" t="s">
        <x:v>29</x:v>
      </x:c>
      <x:c r="Q43" s="138">
        <x:v>19</x:v>
      </x:c>
      <x:c r="R43" s="139">
        <x:v>18</x:v>
      </x:c>
      <x:c r="S43" s="139">
        <x:v>16</x:v>
      </x:c>
      <x:c r="T43" s="139"/>
      <x:c r="U43" s="139"/>
      <x:c r="V43" s="123">
        <x:f t="shared" si="6"/>
        <x:v>53</x:v>
      </x:c>
      <x:c r="W43" s="138">
        <x:v>19</x:v>
      </x:c>
      <x:c r="X43" s="139">
        <x:v>18</x:v>
      </x:c>
      <x:c r="Y43" s="139">
        <x:v>16</x:v>
      </x:c>
      <x:c r="Z43" s="139"/>
      <x:c r="AA43" s="139"/>
      <x:c r="AB43" s="123">
        <x:f t="shared" si="7"/>
        <x:v>53</x:v>
      </x:c>
      <x:c r="AC43" s="138">
        <x:v>19</x:v>
      </x:c>
      <x:c r="AD43" s="139">
        <x:v>18</x:v>
      </x:c>
      <x:c r="AE43" s="139">
        <x:v>16</x:v>
      </x:c>
      <x:c r="AF43" s="139"/>
      <x:c r="AG43" s="139"/>
      <x:c r="AH43" s="123">
        <x:f t="shared" si="8"/>
        <x:v>53</x:v>
      </x:c>
      <x:c r="AI43" s="138">
        <x:v>19</x:v>
      </x:c>
      <x:c r="AJ43" s="139">
        <x:v>18</x:v>
      </x:c>
      <x:c r="AK43" s="139">
        <x:v>16</x:v>
      </x:c>
      <x:c r="AL43" s="139"/>
      <x:c r="AM43" s="139"/>
      <x:c r="AN43" s="123">
        <x:f t="shared" si="9"/>
        <x:v>53</x:v>
      </x:c>
      <x:c r="AO43" s="138">
        <x:v>19</x:v>
      </x:c>
      <x:c r="AP43" s="139">
        <x:v>18</x:v>
      </x:c>
      <x:c r="AQ43" s="139">
        <x:v>16</x:v>
      </x:c>
      <x:c r="AR43" s="139"/>
      <x:c r="AS43" s="139"/>
      <x:c r="AT43" s="123">
        <x:f t="shared" si="10"/>
        <x:v>53</x:v>
      </x:c>
      <x:c r="AU43" s="138">
        <x:v>19</x:v>
      </x:c>
      <x:c r="AV43" s="139">
        <x:v>18</x:v>
      </x:c>
      <x:c r="AW43" s="139">
        <x:v>16</x:v>
      </x:c>
      <x:c r="AX43" s="139"/>
      <x:c r="AY43" s="139"/>
      <x:c r="AZ43" s="123">
        <x:f t="shared" si="11"/>
        <x:v>53</x:v>
      </x:c>
      <x:c r="BA43" s="138">
        <x:v>19</x:v>
      </x:c>
      <x:c r="BB43" s="139">
        <x:v>18</x:v>
      </x:c>
      <x:c r="BC43" s="139">
        <x:v>16</x:v>
      </x:c>
      <x:c r="BD43" s="139"/>
      <x:c r="BE43" s="139"/>
      <x:c r="BF43" s="123">
        <x:f t="shared" si="12"/>
        <x:v>53</x:v>
      </x:c>
      <x:c r="BG43" s="138">
        <x:v>19</x:v>
      </x:c>
      <x:c r="BH43" s="139">
        <x:v>18</x:v>
      </x:c>
      <x:c r="BI43" s="139">
        <x:v>16</x:v>
      </x:c>
      <x:c r="BJ43" s="139"/>
      <x:c r="BK43" s="139"/>
      <x:c r="BL43" s="123">
        <x:f t="shared" si="13"/>
        <x:v>53</x:v>
      </x:c>
      <x:c r="BM43" s="138">
        <x:v>19</x:v>
      </x:c>
      <x:c r="BN43" s="139">
        <x:v>18</x:v>
      </x:c>
      <x:c r="BO43" s="139">
        <x:v>16</x:v>
      </x:c>
      <x:c r="BP43" s="139"/>
      <x:c r="BQ43" s="139"/>
      <x:c r="BR43" s="123">
        <x:f t="shared" si="14"/>
        <x:v>53</x:v>
      </x:c>
      <x:c r="BS43" s="138">
        <x:v>19</x:v>
      </x:c>
      <x:c r="BT43" s="139">
        <x:v>18</x:v>
      </x:c>
      <x:c r="BU43" s="139">
        <x:v>16</x:v>
      </x:c>
      <x:c r="BV43" s="139"/>
      <x:c r="BW43" s="139"/>
      <x:c r="BX43" s="123">
        <x:f t="shared" si="15"/>
        <x:v>53</x:v>
      </x:c>
      <x:c r="BY43" s="144"/>
      <x:c r="BZ43" s="116"/>
      <x:c r="CA43" s="116"/>
      <x:c r="CB43" s="116"/>
      <x:c r="CC43" s="116"/>
      <x:c r="CD43" s="123">
        <x:f t="shared" si="16"/>
        <x:v>0</x:v>
      </x:c>
      <x:c r="CE43" s="144"/>
      <x:c r="CF43" s="116"/>
      <x:c r="CG43" s="116"/>
      <x:c r="CH43" s="116"/>
      <x:c r="CI43" s="116"/>
      <x:c r="CJ43" s="123">
        <x:f t="shared" si="17"/>
        <x:v>0</x:v>
      </x:c>
      <x:c r="CK43" s="127"/>
      <x:c r="CL43" s="115"/>
      <x:c r="CM43" s="115"/>
      <x:c r="CN43" s="115"/>
      <x:c r="CO43" s="115"/>
      <x:c r="CP43" s="123">
        <x:f t="shared" si="18"/>
        <x:v>0</x:v>
      </x:c>
      <x:c r="CQ43" s="127"/>
      <x:c r="CR43" s="115"/>
      <x:c r="CS43" s="115"/>
      <x:c r="CT43" s="115"/>
      <x:c r="CU43" s="115"/>
      <x:c r="CV43" s="123">
        <x:f t="shared" si="19"/>
        <x:v>0</x:v>
      </x:c>
      <x:c r="CW43" s="127"/>
      <x:c r="CX43" s="115"/>
      <x:c r="CY43" s="115"/>
      <x:c r="CZ43" s="115"/>
      <x:c r="DA43" s="115"/>
      <x:c r="DB43" s="123">
        <x:f t="shared" si="20"/>
        <x:v>0</x:v>
      </x:c>
      <x:c r="DC43" s="127"/>
      <x:c r="DD43" s="115"/>
      <x:c r="DE43" s="115"/>
      <x:c r="DF43" s="115"/>
      <x:c r="DG43" s="115"/>
      <x:c r="DH43" s="123">
        <x:f t="shared" si="21"/>
        <x:v>0</x:v>
      </x:c>
      <x:c r="DI43" s="127"/>
      <x:c r="DJ43" s="115"/>
      <x:c r="DK43" s="115"/>
      <x:c r="DL43" s="115"/>
      <x:c r="DM43" s="115"/>
      <x:c r="DN43" s="123">
        <x:f t="shared" si="22"/>
        <x:v>0</x:v>
      </x:c>
      <x:c r="DO43" s="127"/>
      <x:c r="DP43" s="115"/>
      <x:c r="DQ43" s="115"/>
      <x:c r="DR43" s="115"/>
      <x:c r="DS43" s="115"/>
      <x:c r="DT43" s="123">
        <x:f t="shared" si="23"/>
        <x:v>0</x:v>
      </x:c>
      <x:c r="DU43" s="127"/>
      <x:c r="DV43" s="115"/>
      <x:c r="DW43" s="115"/>
      <x:c r="DX43" s="115"/>
      <x:c r="DY43" s="115"/>
      <x:c r="DZ43" s="123">
        <x:f t="shared" si="24"/>
        <x:v>0</x:v>
      </x:c>
      <x:c r="EA43" s="127"/>
      <x:c r="EB43" s="115"/>
      <x:c r="EC43" s="115"/>
      <x:c r="ED43" s="115"/>
      <x:c r="EE43" s="115"/>
      <x:c r="EF43" s="123">
        <x:f t="shared" si="25"/>
        <x:v>0</x:v>
      </x:c>
      <x:c r="EG43" s="146">
        <x:f t="shared" si="26"/>
        <x:v>530</x:v>
      </x:c>
      <x:c r="EH43" s="73" t="s">
        <x:v>30</x:v>
      </x:c>
      <x:c r="EI43" s="73" t="s">
        <x:v>193</x:v>
      </x:c>
      <x:c r="EJ43" s="142"/>
    </x:row>
    <x:row r="44" ht="54.75" customHeight="1">
      <x:c r="A44" s="154" t="s">
        <x:v>329</x:v>
      </x:c>
      <x:c r="B44" s="112" t="s">
        <x:v>290</x:v>
      </x:c>
      <x:c r="C44" s="155" t="s">
        <x:v>190</x:v>
      </x:c>
      <x:c r="D44" s="155" t="s">
        <x:v>291</x:v>
      </x:c>
      <x:c r="E44" s="155" t="s">
        <x:v>292</x:v>
      </x:c>
      <x:c r="F44" s="156">
        <x:v>9</x:v>
      </x:c>
      <x:c r="G44" s="157">
        <x:v>9</x:v>
      </x:c>
      <x:c r="H44" s="158"/>
      <x:c r="I44" s="158"/>
      <x:c r="J44" s="158"/>
      <x:c r="K44" s="158"/>
      <x:c r="L44" s="159">
        <x:v>0.5</x:v>
      </x:c>
      <x:c r="M44" s="155" t="s">
        <x:v>293</x:v>
      </x:c>
      <x:c r="N44" s="155"/>
      <x:c r="O44" s="160" t="s">
        <x:v>294</x:v>
      </x:c>
      <x:c r="P44" s="161" t="s">
        <x:v>60</x:v>
      </x:c>
      <x:c r="Q44" s="163"/>
      <x:c r="R44" s="158"/>
      <x:c r="S44" s="158"/>
      <x:c r="T44" s="165"/>
      <x:c r="U44" s="165"/>
      <x:c r="V44" s="164">
        <x:f t="shared" si="6"/>
        <x:v>0</x:v>
      </x:c>
      <x:c r="W44" s="157">
        <x:v>9</x:v>
      </x:c>
      <x:c r="X44" s="158"/>
      <x:c r="Y44" s="158"/>
      <x:c r="Z44" s="165"/>
      <x:c r="AA44" s="165"/>
      <x:c r="AB44" s="164">
        <x:f t="shared" si="7"/>
        <x:v>9</x:v>
      </x:c>
      <x:c r="AC44" s="157">
        <x:v>9</x:v>
      </x:c>
      <x:c r="AD44" s="158"/>
      <x:c r="AE44" s="158"/>
      <x:c r="AF44" s="179"/>
      <x:c r="AG44" s="179"/>
      <x:c r="AH44" s="164">
        <x:f t="shared" si="8"/>
        <x:v>9</x:v>
      </x:c>
      <x:c r="AI44" s="157">
        <x:v>9</x:v>
      </x:c>
      <x:c r="AJ44" s="158"/>
      <x:c r="AK44" s="158"/>
      <x:c r="AL44" s="179"/>
      <x:c r="AM44" s="179"/>
      <x:c r="AN44" s="164">
        <x:f t="shared" si="9"/>
        <x:v>9</x:v>
      </x:c>
      <x:c r="AO44" s="157">
        <x:v>9</x:v>
      </x:c>
      <x:c r="AP44" s="158"/>
      <x:c r="AQ44" s="158"/>
      <x:c r="AR44" s="179"/>
      <x:c r="AS44" s="179"/>
      <x:c r="AT44" s="164">
        <x:f t="shared" si="10"/>
        <x:v>9</x:v>
      </x:c>
      <x:c r="AU44" s="157">
        <x:v>9</x:v>
      </x:c>
      <x:c r="AV44" s="158"/>
      <x:c r="AW44" s="158"/>
      <x:c r="AX44" s="179"/>
      <x:c r="AY44" s="179"/>
      <x:c r="AZ44" s="164">
        <x:f t="shared" si="11"/>
        <x:v>9</x:v>
      </x:c>
      <x:c r="BA44" s="157">
        <x:v>9</x:v>
      </x:c>
      <x:c r="BB44" s="158"/>
      <x:c r="BC44" s="158"/>
      <x:c r="BD44" s="179"/>
      <x:c r="BE44" s="179"/>
      <x:c r="BF44" s="164">
        <x:f t="shared" si="12"/>
        <x:v>9</x:v>
      </x:c>
      <x:c r="BG44" s="157">
        <x:v>9</x:v>
      </x:c>
      <x:c r="BH44" s="158"/>
      <x:c r="BI44" s="158"/>
      <x:c r="BJ44" s="179"/>
      <x:c r="BK44" s="179"/>
      <x:c r="BL44" s="164">
        <x:f t="shared" si="13"/>
        <x:v>9</x:v>
      </x:c>
      <x:c r="BM44" s="157">
        <x:v>9</x:v>
      </x:c>
      <x:c r="BN44" s="158"/>
      <x:c r="BO44" s="158"/>
      <x:c r="BP44" s="179"/>
      <x:c r="BQ44" s="179"/>
      <x:c r="BR44" s="164">
        <x:f t="shared" si="14"/>
        <x:v>9</x:v>
      </x:c>
      <x:c r="BS44" s="157">
        <x:v>9</x:v>
      </x:c>
      <x:c r="BT44" s="158"/>
      <x:c r="BU44" s="158"/>
      <x:c r="BV44" s="179"/>
      <x:c r="BW44" s="179"/>
      <x:c r="BX44" s="164">
        <x:f t="shared" si="15"/>
        <x:v>9</x:v>
      </x:c>
      <x:c r="BY44" s="178">
        <x:v>10</x:v>
      </x:c>
      <x:c r="BZ44" s="179"/>
      <x:c r="CA44" s="179"/>
      <x:c r="CB44" s="179"/>
      <x:c r="CC44" s="179"/>
      <x:c r="CD44" s="164">
        <x:f t="shared" si="16"/>
        <x:v>10</x:v>
      </x:c>
      <x:c r="CE44" s="178">
        <x:v>10</x:v>
      </x:c>
      <x:c r="CF44" s="179"/>
      <x:c r="CG44" s="179"/>
      <x:c r="CH44" s="179"/>
      <x:c r="CI44" s="179"/>
      <x:c r="CJ44" s="164">
        <x:f t="shared" si="17"/>
        <x:v>10</x:v>
      </x:c>
      <x:c r="CK44" s="181"/>
      <x:c r="CL44" s="165"/>
      <x:c r="CM44" s="165"/>
      <x:c r="CN44" s="165"/>
      <x:c r="CO44" s="165"/>
      <x:c r="CP44" s="164">
        <x:f t="shared" si="18"/>
        <x:v>0</x:v>
      </x:c>
      <x:c r="CQ44" s="181"/>
      <x:c r="CR44" s="165"/>
      <x:c r="CS44" s="165"/>
      <x:c r="CT44" s="165"/>
      <x:c r="CU44" s="165"/>
      <x:c r="CV44" s="164">
        <x:f t="shared" si="19"/>
        <x:v>0</x:v>
      </x:c>
      <x:c r="CW44" s="181"/>
      <x:c r="CX44" s="165"/>
      <x:c r="CY44" s="165"/>
      <x:c r="CZ44" s="165"/>
      <x:c r="DA44" s="165"/>
      <x:c r="DB44" s="164">
        <x:f t="shared" si="20"/>
        <x:v>0</x:v>
      </x:c>
      <x:c r="DC44" s="181"/>
      <x:c r="DD44" s="165"/>
      <x:c r="DE44" s="165"/>
      <x:c r="DF44" s="165"/>
      <x:c r="DG44" s="165"/>
      <x:c r="DH44" s="164">
        <x:f t="shared" si="21"/>
        <x:v>0</x:v>
      </x:c>
      <x:c r="DI44" s="181"/>
      <x:c r="DJ44" s="165"/>
      <x:c r="DK44" s="165"/>
      <x:c r="DL44" s="165"/>
      <x:c r="DM44" s="165"/>
      <x:c r="DN44" s="164">
        <x:f t="shared" si="22"/>
        <x:v>0</x:v>
      </x:c>
      <x:c r="DO44" s="181"/>
      <x:c r="DP44" s="165"/>
      <x:c r="DQ44" s="165"/>
      <x:c r="DR44" s="165"/>
      <x:c r="DS44" s="165"/>
      <x:c r="DT44" s="164">
        <x:f t="shared" si="23"/>
        <x:v>0</x:v>
      </x:c>
      <x:c r="DU44" s="181"/>
      <x:c r="DV44" s="165"/>
      <x:c r="DW44" s="165"/>
      <x:c r="DX44" s="165"/>
      <x:c r="DY44" s="165"/>
      <x:c r="DZ44" s="164">
        <x:f t="shared" si="24"/>
        <x:v>0</x:v>
      </x:c>
      <x:c r="EA44" s="181"/>
      <x:c r="EB44" s="165"/>
      <x:c r="EC44" s="165"/>
      <x:c r="ED44" s="165"/>
      <x:c r="EE44" s="165"/>
      <x:c r="EF44" s="164">
        <x:f t="shared" si="25"/>
        <x:v>0</x:v>
      </x:c>
      <x:c r="EG44" s="167">
        <x:f t="shared" si="26"/>
        <x:v>101</x:v>
      </x:c>
      <x:c r="EH44" s="168" t="s">
        <x:v>288</x:v>
      </x:c>
      <x:c r="EI44" s="169" t="s">
        <x:v>193</x:v>
      </x:c>
      <x:c r="EJ44" s="171"/>
    </x:row>
    <x:row r="45" ht="54.75" customHeight="1">
      <x:c r="A45" s="76">
        <x:v>28</x:v>
      </x:c>
      <x:c r="B45" s="143" t="s">
        <x:v>194</x:v>
      </x:c>
      <x:c r="C45" s="73" t="s">
        <x:v>195</x:v>
      </x:c>
      <x:c r="D45" s="73" t="s">
        <x:v>196</x:v>
      </x:c>
      <x:c r="E45" s="73" t="s">
        <x:v>197</x:v>
      </x:c>
      <x:c r="F45" s="119">
        <x:f t="shared" si="5"/>
        <x:v>52</x:v>
      </x:c>
      <x:c r="G45" s="138">
        <x:v>20</x:v>
      </x:c>
      <x:c r="H45" s="139">
        <x:v>21</x:v>
      </x:c>
      <x:c r="I45" s="139"/>
      <x:c r="J45" s="139"/>
      <x:c r="K45" s="139">
        <x:v>11</x:v>
      </x:c>
      <x:c r="L45" s="74">
        <x:v>0.50694444444444442</x:v>
      </x:c>
      <x:c r="M45" s="140" t="s">
        <x:v>198</x:v>
      </x:c>
      <x:c r="N45" s="73" t="s">
        <x:v>43</x:v>
      </x:c>
      <x:c r="O45" s="75" t="s">
        <x:v>106</x:v>
      </x:c>
      <x:c r="P45" s="85" t="s">
        <x:v>29</x:v>
      </x:c>
      <x:c r="Q45" s="138">
        <x:v>20</x:v>
      </x:c>
      <x:c r="R45" s="139">
        <x:v>21</x:v>
      </x:c>
      <x:c r="S45" s="139"/>
      <x:c r="T45" s="139"/>
      <x:c r="U45" s="139">
        <x:v>11</x:v>
      </x:c>
      <x:c r="V45" s="123">
        <x:f t="shared" si="6"/>
        <x:v>52</x:v>
      </x:c>
      <x:c r="W45" s="138">
        <x:v>20</x:v>
      </x:c>
      <x:c r="X45" s="139">
        <x:v>21</x:v>
      </x:c>
      <x:c r="Y45" s="139"/>
      <x:c r="Z45" s="139"/>
      <x:c r="AA45" s="139">
        <x:v>11</x:v>
      </x:c>
      <x:c r="AB45" s="123">
        <x:f t="shared" si="7"/>
        <x:v>52</x:v>
      </x:c>
      <x:c r="AC45" s="138">
        <x:v>20</x:v>
      </x:c>
      <x:c r="AD45" s="139">
        <x:v>21</x:v>
      </x:c>
      <x:c r="AE45" s="139"/>
      <x:c r="AF45" s="139"/>
      <x:c r="AG45" s="139">
        <x:v>11</x:v>
      </x:c>
      <x:c r="AH45" s="123">
        <x:f t="shared" si="8"/>
        <x:v>52</x:v>
      </x:c>
      <x:c r="AI45" s="138">
        <x:v>20</x:v>
      </x:c>
      <x:c r="AJ45" s="139">
        <x:v>21</x:v>
      </x:c>
      <x:c r="AK45" s="139"/>
      <x:c r="AL45" s="139"/>
      <x:c r="AM45" s="139">
        <x:v>11</x:v>
      </x:c>
      <x:c r="AN45" s="123">
        <x:f t="shared" si="9"/>
        <x:v>52</x:v>
      </x:c>
      <x:c r="AO45" s="138">
        <x:v>20</x:v>
      </x:c>
      <x:c r="AP45" s="139">
        <x:v>21</x:v>
      </x:c>
      <x:c r="AQ45" s="139"/>
      <x:c r="AR45" s="139"/>
      <x:c r="AS45" s="139">
        <x:v>11</x:v>
      </x:c>
      <x:c r="AT45" s="123">
        <x:f t="shared" si="10"/>
        <x:v>52</x:v>
      </x:c>
      <x:c r="AU45" s="138">
        <x:v>20</x:v>
      </x:c>
      <x:c r="AV45" s="139">
        <x:v>21</x:v>
      </x:c>
      <x:c r="AW45" s="139"/>
      <x:c r="AX45" s="139"/>
      <x:c r="AY45" s="139">
        <x:v>11</x:v>
      </x:c>
      <x:c r="AZ45" s="123">
        <x:f t="shared" si="11"/>
        <x:v>52</x:v>
      </x:c>
      <x:c r="BA45" s="138">
        <x:v>20</x:v>
      </x:c>
      <x:c r="BB45" s="139">
        <x:v>21</x:v>
      </x:c>
      <x:c r="BC45" s="139"/>
      <x:c r="BD45" s="139"/>
      <x:c r="BE45" s="139">
        <x:v>11</x:v>
      </x:c>
      <x:c r="BF45" s="123">
        <x:f t="shared" si="12"/>
        <x:v>52</x:v>
      </x:c>
      <x:c r="BG45" s="138">
        <x:v>20</x:v>
      </x:c>
      <x:c r="BH45" s="139">
        <x:v>21</x:v>
      </x:c>
      <x:c r="BI45" s="139"/>
      <x:c r="BJ45" s="139"/>
      <x:c r="BK45" s="139">
        <x:v>11</x:v>
      </x:c>
      <x:c r="BL45" s="123">
        <x:f t="shared" si="13"/>
        <x:v>52</x:v>
      </x:c>
      <x:c r="BM45" s="138">
        <x:v>20</x:v>
      </x:c>
      <x:c r="BN45" s="139">
        <x:v>21</x:v>
      </x:c>
      <x:c r="BO45" s="139"/>
      <x:c r="BP45" s="139"/>
      <x:c r="BQ45" s="139">
        <x:v>11</x:v>
      </x:c>
      <x:c r="BR45" s="123">
        <x:f t="shared" si="14"/>
        <x:v>52</x:v>
      </x:c>
      <x:c r="BS45" s="138">
        <x:v>20</x:v>
      </x:c>
      <x:c r="BT45" s="139">
        <x:v>21</x:v>
      </x:c>
      <x:c r="BU45" s="139"/>
      <x:c r="BV45" s="139"/>
      <x:c r="BW45" s="139">
        <x:v>11</x:v>
      </x:c>
      <x:c r="BX45" s="123">
        <x:f t="shared" si="15"/>
        <x:v>52</x:v>
      </x:c>
      <x:c r="BY45" s="138">
        <x:v>20</x:v>
      </x:c>
      <x:c r="BZ45" s="139">
        <x:v>21</x:v>
      </x:c>
      <x:c r="CA45" s="139"/>
      <x:c r="CB45" s="139"/>
      <x:c r="CC45" s="139">
        <x:v>11</x:v>
      </x:c>
      <x:c r="CD45" s="123">
        <x:f t="shared" si="16"/>
        <x:v>52</x:v>
      </x:c>
      <x:c r="CE45" s="138">
        <x:v>20</x:v>
      </x:c>
      <x:c r="CF45" s="139">
        <x:v>21</x:v>
      </x:c>
      <x:c r="CG45" s="139"/>
      <x:c r="CH45" s="139"/>
      <x:c r="CI45" s="139">
        <x:v>11</x:v>
      </x:c>
      <x:c r="CJ45" s="123">
        <x:f t="shared" si="17"/>
        <x:v>52</x:v>
      </x:c>
      <x:c r="CK45" s="138">
        <x:v>20</x:v>
      </x:c>
      <x:c r="CL45" s="139">
        <x:v>21</x:v>
      </x:c>
      <x:c r="CM45" s="139"/>
      <x:c r="CN45" s="139"/>
      <x:c r="CO45" s="139">
        <x:v>11</x:v>
      </x:c>
      <x:c r="CP45" s="123">
        <x:f t="shared" si="18"/>
        <x:v>52</x:v>
      </x:c>
      <x:c r="CQ45" s="138">
        <x:v>20</x:v>
      </x:c>
      <x:c r="CR45" s="139">
        <x:v>21</x:v>
      </x:c>
      <x:c r="CS45" s="139"/>
      <x:c r="CT45" s="139"/>
      <x:c r="CU45" s="139">
        <x:v>11</x:v>
      </x:c>
      <x:c r="CV45" s="123">
        <x:f t="shared" si="19"/>
        <x:v>52</x:v>
      </x:c>
      <x:c r="CW45" s="138">
        <x:v>20</x:v>
      </x:c>
      <x:c r="CX45" s="139">
        <x:v>21</x:v>
      </x:c>
      <x:c r="CY45" s="139"/>
      <x:c r="CZ45" s="139"/>
      <x:c r="DA45" s="139">
        <x:v>11</x:v>
      </x:c>
      <x:c r="DB45" s="123">
        <x:f t="shared" si="20"/>
        <x:v>52</x:v>
      </x:c>
      <x:c r="DC45" s="138"/>
      <x:c r="DD45" s="139"/>
      <x:c r="DE45" s="139"/>
      <x:c r="DF45" s="139"/>
      <x:c r="DG45" s="139"/>
      <x:c r="DH45" s="123">
        <x:f t="shared" si="21"/>
        <x:v>0</x:v>
      </x:c>
      <x:c r="DI45" s="127"/>
      <x:c r="DJ45" s="115"/>
      <x:c r="DK45" s="115"/>
      <x:c r="DL45" s="115"/>
      <x:c r="DM45" s="115"/>
      <x:c r="DN45" s="123">
        <x:f t="shared" si="22"/>
        <x:v>0</x:v>
      </x:c>
      <x:c r="DO45" s="144"/>
      <x:c r="DP45" s="116"/>
      <x:c r="DQ45" s="116"/>
      <x:c r="DR45" s="116"/>
      <x:c r="DS45" s="116"/>
      <x:c r="DT45" s="123">
        <x:f t="shared" si="23"/>
        <x:v>0</x:v>
      </x:c>
      <x:c r="DU45" s="127"/>
      <x:c r="DV45" s="115"/>
      <x:c r="DW45" s="115"/>
      <x:c r="DX45" s="115"/>
      <x:c r="DY45" s="115"/>
      <x:c r="DZ45" s="123">
        <x:f t="shared" si="24"/>
        <x:v>0</x:v>
      </x:c>
      <x:c r="EA45" s="127"/>
      <x:c r="EB45" s="115"/>
      <x:c r="EC45" s="115"/>
      <x:c r="ED45" s="115"/>
      <x:c r="EE45" s="115"/>
      <x:c r="EF45" s="123">
        <x:f t="shared" si="25"/>
        <x:v>0</x:v>
      </x:c>
      <x:c r="EG45" s="146">
        <x:f t="shared" si="26"/>
        <x:v>780</x:v>
      </x:c>
      <x:c r="EH45" s="73" t="s">
        <x:v>37</x:v>
      </x:c>
      <x:c r="EI45" s="73" t="s">
        <x:v>199</x:v>
      </x:c>
      <x:c r="EJ45" s="142"/>
    </x:row>
    <x:row r="46" ht="54.75" customHeight="1">
      <x:c r="A46" s="76">
        <x:v>29</x:v>
      </x:c>
      <x:c r="B46" s="143" t="s">
        <x:v>200</x:v>
      </x:c>
      <x:c r="C46" s="73" t="s">
        <x:v>201</x:v>
      </x:c>
      <x:c r="D46" s="73" t="s">
        <x:v>202</x:v>
      </x:c>
      <x:c r="E46" s="73" t="s">
        <x:v>202</x:v>
      </x:c>
      <x:c r="F46" s="119">
        <x:f t="shared" si="5"/>
        <x:v>45</x:v>
      </x:c>
      <x:c r="G46" s="138">
        <x:v>23</x:v>
      </x:c>
      <x:c r="H46" s="139">
        <x:v>22</x:v>
      </x:c>
      <x:c r="I46" s="139"/>
      <x:c r="J46" s="139"/>
      <x:c r="K46" s="139"/>
      <x:c r="L46" s="74">
        <x:v>0.4861111111111111</x:v>
      </x:c>
      <x:c r="M46" s="140" t="s">
        <x:v>203</x:v>
      </x:c>
      <x:c r="N46" s="73"/>
      <x:c r="O46" s="75" t="s">
        <x:v>99</x:v>
      </x:c>
      <x:c r="P46" s="85" t="s">
        <x:v>29</x:v>
      </x:c>
      <x:c r="Q46" s="138">
        <x:v>23</x:v>
      </x:c>
      <x:c r="R46" s="139">
        <x:v>22</x:v>
      </x:c>
      <x:c r="S46" s="139"/>
      <x:c r="T46" s="139"/>
      <x:c r="U46" s="139"/>
      <x:c r="V46" s="123">
        <x:f t="shared" si="6"/>
        <x:v>45</x:v>
      </x:c>
      <x:c r="W46" s="138">
        <x:v>23</x:v>
      </x:c>
      <x:c r="X46" s="139">
        <x:v>22</x:v>
      </x:c>
      <x:c r="Y46" s="139"/>
      <x:c r="Z46" s="139"/>
      <x:c r="AA46" s="139"/>
      <x:c r="AB46" s="123">
        <x:f t="shared" si="7"/>
        <x:v>45</x:v>
      </x:c>
      <x:c r="AC46" s="138">
        <x:v>23</x:v>
      </x:c>
      <x:c r="AD46" s="139">
        <x:v>22</x:v>
      </x:c>
      <x:c r="AE46" s="139"/>
      <x:c r="AF46" s="139"/>
      <x:c r="AG46" s="139"/>
      <x:c r="AH46" s="123">
        <x:f t="shared" si="8"/>
        <x:v>45</x:v>
      </x:c>
      <x:c r="AI46" s="138">
        <x:v>23</x:v>
      </x:c>
      <x:c r="AJ46" s="139">
        <x:v>22</x:v>
      </x:c>
      <x:c r="AK46" s="139"/>
      <x:c r="AL46" s="139"/>
      <x:c r="AM46" s="139"/>
      <x:c r="AN46" s="123">
        <x:f t="shared" si="9"/>
        <x:v>45</x:v>
      </x:c>
      <x:c r="AO46" s="138">
        <x:v>23</x:v>
      </x:c>
      <x:c r="AP46" s="139">
        <x:v>22</x:v>
      </x:c>
      <x:c r="AQ46" s="139"/>
      <x:c r="AR46" s="139"/>
      <x:c r="AS46" s="139"/>
      <x:c r="AT46" s="123">
        <x:f t="shared" si="10"/>
        <x:v>45</x:v>
      </x:c>
      <x:c r="AU46" s="138">
        <x:v>23</x:v>
      </x:c>
      <x:c r="AV46" s="139">
        <x:v>22</x:v>
      </x:c>
      <x:c r="AW46" s="139"/>
      <x:c r="AX46" s="139"/>
      <x:c r="AY46" s="139"/>
      <x:c r="AZ46" s="123">
        <x:f t="shared" si="11"/>
        <x:v>45</x:v>
      </x:c>
      <x:c r="BA46" s="138">
        <x:v>23</x:v>
      </x:c>
      <x:c r="BB46" s="139">
        <x:v>22</x:v>
      </x:c>
      <x:c r="BC46" s="139"/>
      <x:c r="BD46" s="139"/>
      <x:c r="BE46" s="139"/>
      <x:c r="BF46" s="123">
        <x:f t="shared" si="12"/>
        <x:v>45</x:v>
      </x:c>
      <x:c r="BG46" s="138">
        <x:v>23</x:v>
      </x:c>
      <x:c r="BH46" s="139">
        <x:v>22</x:v>
      </x:c>
      <x:c r="BI46" s="139"/>
      <x:c r="BJ46" s="139"/>
      <x:c r="BK46" s="139"/>
      <x:c r="BL46" s="123">
        <x:f t="shared" si="13"/>
        <x:v>45</x:v>
      </x:c>
      <x:c r="BM46" s="138">
        <x:v>23</x:v>
      </x:c>
      <x:c r="BN46" s="139">
        <x:v>22</x:v>
      </x:c>
      <x:c r="BO46" s="139"/>
      <x:c r="BP46" s="139"/>
      <x:c r="BQ46" s="139"/>
      <x:c r="BR46" s="123">
        <x:f t="shared" si="14"/>
        <x:v>45</x:v>
      </x:c>
      <x:c r="BS46" s="144"/>
      <x:c r="BT46" s="116"/>
      <x:c r="BU46" s="116"/>
      <x:c r="BV46" s="116"/>
      <x:c r="BW46" s="116"/>
      <x:c r="BX46" s="123">
        <x:f t="shared" si="15"/>
        <x:v>0</x:v>
      </x:c>
      <x:c r="BY46" s="144"/>
      <x:c r="BZ46" s="116"/>
      <x:c r="CA46" s="116"/>
      <x:c r="CB46" s="116"/>
      <x:c r="CC46" s="116"/>
      <x:c r="CD46" s="123">
        <x:f t="shared" si="16"/>
        <x:v>0</x:v>
      </x:c>
      <x:c r="CE46" s="144"/>
      <x:c r="CF46" s="116"/>
      <x:c r="CG46" s="116"/>
      <x:c r="CH46" s="116"/>
      <x:c r="CI46" s="116"/>
      <x:c r="CJ46" s="123">
        <x:f t="shared" si="17"/>
        <x:v>0</x:v>
      </x:c>
      <x:c r="CK46" s="127"/>
      <x:c r="CL46" s="115"/>
      <x:c r="CM46" s="115"/>
      <x:c r="CN46" s="115"/>
      <x:c r="CO46" s="115"/>
      <x:c r="CP46" s="123">
        <x:f t="shared" si="18"/>
        <x:v>0</x:v>
      </x:c>
      <x:c r="CQ46" s="127"/>
      <x:c r="CR46" s="115"/>
      <x:c r="CS46" s="115"/>
      <x:c r="CT46" s="115"/>
      <x:c r="CU46" s="115"/>
      <x:c r="CV46" s="123">
        <x:f t="shared" si="19"/>
        <x:v>0</x:v>
      </x:c>
      <x:c r="CW46" s="127"/>
      <x:c r="CX46" s="115"/>
      <x:c r="CY46" s="115"/>
      <x:c r="CZ46" s="115"/>
      <x:c r="DA46" s="115"/>
      <x:c r="DB46" s="123">
        <x:f t="shared" si="20"/>
        <x:v>0</x:v>
      </x:c>
      <x:c r="DC46" s="127"/>
      <x:c r="DD46" s="115"/>
      <x:c r="DE46" s="115"/>
      <x:c r="DF46" s="115"/>
      <x:c r="DG46" s="115"/>
      <x:c r="DH46" s="123">
        <x:f t="shared" si="21"/>
        <x:v>0</x:v>
      </x:c>
      <x:c r="DI46" s="127"/>
      <x:c r="DJ46" s="115"/>
      <x:c r="DK46" s="115"/>
      <x:c r="DL46" s="115"/>
      <x:c r="DM46" s="115"/>
      <x:c r="DN46" s="123">
        <x:f t="shared" si="22"/>
        <x:v>0</x:v>
      </x:c>
      <x:c r="DO46" s="144"/>
      <x:c r="DP46" s="116"/>
      <x:c r="DQ46" s="116"/>
      <x:c r="DR46" s="116"/>
      <x:c r="DS46" s="116"/>
      <x:c r="DT46" s="123">
        <x:f t="shared" si="23"/>
        <x:v>0</x:v>
      </x:c>
      <x:c r="DU46" s="127"/>
      <x:c r="DV46" s="115"/>
      <x:c r="DW46" s="115"/>
      <x:c r="DX46" s="115"/>
      <x:c r="DY46" s="115"/>
      <x:c r="DZ46" s="123">
        <x:f t="shared" si="24"/>
        <x:v>0</x:v>
      </x:c>
      <x:c r="EA46" s="127"/>
      <x:c r="EB46" s="115"/>
      <x:c r="EC46" s="115"/>
      <x:c r="ED46" s="115"/>
      <x:c r="EE46" s="115"/>
      <x:c r="EF46" s="123">
        <x:f t="shared" si="25"/>
        <x:v>0</x:v>
      </x:c>
      <x:c r="EG46" s="146">
        <x:f t="shared" si="26"/>
        <x:v>405</x:v>
      </x:c>
      <x:c r="EH46" s="73" t="s">
        <x:v>37</x:v>
      </x:c>
      <x:c r="EI46" s="73" t="s">
        <x:v>204</x:v>
      </x:c>
      <x:c r="EJ46" s="142"/>
    </x:row>
    <x:row r="47" ht="54.75" customHeight="1">
      <x:c r="A47" s="76">
        <x:v>30</x:v>
      </x:c>
      <x:c r="B47" s="143" t="s">
        <x:v>205</x:v>
      </x:c>
      <x:c r="C47" s="73" t="s">
        <x:v>206</x:v>
      </x:c>
      <x:c r="D47" s="73" t="s">
        <x:v>207</x:v>
      </x:c>
      <x:c r="E47" s="73" t="s">
        <x:v>208</x:v>
      </x:c>
      <x:c r="F47" s="119">
        <x:f t="shared" si="5"/>
        <x:v>13</x:v>
      </x:c>
      <x:c r="G47" s="138">
        <x:v>13</x:v>
      </x:c>
      <x:c r="H47" s="139"/>
      <x:c r="I47" s="139"/>
      <x:c r="J47" s="139"/>
      <x:c r="K47" s="139"/>
      <x:c r="L47" s="74">
        <x:v>0.47916666666666669</x:v>
      </x:c>
      <x:c r="M47" s="140" t="s">
        <x:v>147</x:v>
      </x:c>
      <x:c r="N47" s="73"/>
      <x:c r="O47" s="75" t="s">
        <x:v>67</x:v>
      </x:c>
      <x:c r="P47" s="85" t="s">
        <x:v>29</x:v>
      </x:c>
      <x:c r="Q47" s="138">
        <x:v>13</x:v>
      </x:c>
      <x:c r="R47" s="139"/>
      <x:c r="S47" s="139"/>
      <x:c r="T47" s="139"/>
      <x:c r="U47" s="139"/>
      <x:c r="V47" s="123">
        <x:f t="shared" si="6"/>
        <x:v>13</x:v>
      </x:c>
      <x:c r="W47" s="138">
        <x:v>13</x:v>
      </x:c>
      <x:c r="X47" s="139"/>
      <x:c r="Y47" s="139"/>
      <x:c r="Z47" s="139"/>
      <x:c r="AA47" s="139"/>
      <x:c r="AB47" s="123">
        <x:f t="shared" si="7"/>
        <x:v>13</x:v>
      </x:c>
      <x:c r="AC47" s="138">
        <x:v>13</x:v>
      </x:c>
      <x:c r="AD47" s="139"/>
      <x:c r="AE47" s="139"/>
      <x:c r="AF47" s="139"/>
      <x:c r="AG47" s="139"/>
      <x:c r="AH47" s="123">
        <x:f t="shared" si="8"/>
        <x:v>13</x:v>
      </x:c>
      <x:c r="AI47" s="138">
        <x:v>13</x:v>
      </x:c>
      <x:c r="AJ47" s="139"/>
      <x:c r="AK47" s="139"/>
      <x:c r="AL47" s="139"/>
      <x:c r="AM47" s="139"/>
      <x:c r="AN47" s="123">
        <x:f t="shared" si="9"/>
        <x:v>13</x:v>
      </x:c>
      <x:c r="AO47" s="138">
        <x:v>13</x:v>
      </x:c>
      <x:c r="AP47" s="139"/>
      <x:c r="AQ47" s="139"/>
      <x:c r="AR47" s="139"/>
      <x:c r="AS47" s="139"/>
      <x:c r="AT47" s="123">
        <x:f t="shared" si="10"/>
        <x:v>13</x:v>
      </x:c>
      <x:c r="AU47" s="138">
        <x:v>13</x:v>
      </x:c>
      <x:c r="AV47" s="139"/>
      <x:c r="AW47" s="139"/>
      <x:c r="AX47" s="139"/>
      <x:c r="AY47" s="139"/>
      <x:c r="AZ47" s="123">
        <x:f t="shared" si="11"/>
        <x:v>13</x:v>
      </x:c>
      <x:c r="BA47" s="138">
        <x:v>13</x:v>
      </x:c>
      <x:c r="BB47" s="139"/>
      <x:c r="BC47" s="139"/>
      <x:c r="BD47" s="139"/>
      <x:c r="BE47" s="139"/>
      <x:c r="BF47" s="123">
        <x:f t="shared" si="12"/>
        <x:v>13</x:v>
      </x:c>
      <x:c r="BG47" s="138">
        <x:v>13</x:v>
      </x:c>
      <x:c r="BH47" s="139"/>
      <x:c r="BI47" s="139"/>
      <x:c r="BJ47" s="139"/>
      <x:c r="BK47" s="139"/>
      <x:c r="BL47" s="123">
        <x:f t="shared" si="13"/>
        <x:v>13</x:v>
      </x:c>
      <x:c r="BM47" s="138">
        <x:v>13</x:v>
      </x:c>
      <x:c r="BN47" s="139"/>
      <x:c r="BO47" s="139"/>
      <x:c r="BP47" s="139"/>
      <x:c r="BQ47" s="139"/>
      <x:c r="BR47" s="123">
        <x:f t="shared" si="14"/>
        <x:v>13</x:v>
      </x:c>
      <x:c r="BS47" s="138">
        <x:v>13</x:v>
      </x:c>
      <x:c r="BT47" s="139"/>
      <x:c r="BU47" s="139"/>
      <x:c r="BV47" s="139"/>
      <x:c r="BW47" s="139"/>
      <x:c r="BX47" s="123">
        <x:f t="shared" si="15"/>
        <x:v>13</x:v>
      </x:c>
      <x:c r="BY47" s="138">
        <x:v>13</x:v>
      </x:c>
      <x:c r="BZ47" s="139"/>
      <x:c r="CA47" s="139"/>
      <x:c r="CB47" s="139"/>
      <x:c r="CC47" s="139"/>
      <x:c r="CD47" s="123">
        <x:f t="shared" si="16"/>
        <x:v>13</x:v>
      </x:c>
      <x:c r="CE47" s="138">
        <x:v>13</x:v>
      </x:c>
      <x:c r="CF47" s="139"/>
      <x:c r="CG47" s="139"/>
      <x:c r="CH47" s="139"/>
      <x:c r="CI47" s="139"/>
      <x:c r="CJ47" s="123">
        <x:f t="shared" si="17"/>
        <x:v>13</x:v>
      </x:c>
      <x:c r="CK47" s="138">
        <x:v>13</x:v>
      </x:c>
      <x:c r="CL47" s="139"/>
      <x:c r="CM47" s="139"/>
      <x:c r="CN47" s="139"/>
      <x:c r="CO47" s="139"/>
      <x:c r="CP47" s="123">
        <x:f t="shared" si="18"/>
        <x:v>13</x:v>
      </x:c>
      <x:c r="CQ47" s="127"/>
      <x:c r="CR47" s="115"/>
      <x:c r="CS47" s="115"/>
      <x:c r="CT47" s="115"/>
      <x:c r="CU47" s="115"/>
      <x:c r="CV47" s="123">
        <x:f t="shared" si="19"/>
        <x:v>0</x:v>
      </x:c>
      <x:c r="CW47" s="127"/>
      <x:c r="CX47" s="115"/>
      <x:c r="CY47" s="115"/>
      <x:c r="CZ47" s="115"/>
      <x:c r="DA47" s="115"/>
      <x:c r="DB47" s="123">
        <x:f t="shared" si="20"/>
        <x:v>0</x:v>
      </x:c>
      <x:c r="DC47" s="127"/>
      <x:c r="DD47" s="115"/>
      <x:c r="DE47" s="115"/>
      <x:c r="DF47" s="115"/>
      <x:c r="DG47" s="115"/>
      <x:c r="DH47" s="123">
        <x:f t="shared" si="21"/>
        <x:v>0</x:v>
      </x:c>
      <x:c r="DI47" s="127"/>
      <x:c r="DJ47" s="115"/>
      <x:c r="DK47" s="115"/>
      <x:c r="DL47" s="115"/>
      <x:c r="DM47" s="115"/>
      <x:c r="DN47" s="123">
        <x:f t="shared" si="22"/>
        <x:v>0</x:v>
      </x:c>
      <x:c r="DO47" s="144"/>
      <x:c r="DP47" s="116"/>
      <x:c r="DQ47" s="116"/>
      <x:c r="DR47" s="116"/>
      <x:c r="DS47" s="116"/>
      <x:c r="DT47" s="123">
        <x:f t="shared" si="23"/>
        <x:v>0</x:v>
      </x:c>
      <x:c r="DU47" s="127"/>
      <x:c r="DV47" s="115"/>
      <x:c r="DW47" s="115"/>
      <x:c r="DX47" s="115"/>
      <x:c r="DY47" s="115"/>
      <x:c r="DZ47" s="123">
        <x:f t="shared" si="24"/>
        <x:v>0</x:v>
      </x:c>
      <x:c r="EA47" s="127"/>
      <x:c r="EB47" s="115"/>
      <x:c r="EC47" s="115"/>
      <x:c r="ED47" s="115"/>
      <x:c r="EE47" s="115"/>
      <x:c r="EF47" s="123">
        <x:f t="shared" si="25"/>
        <x:v>0</x:v>
      </x:c>
      <x:c r="EG47" s="146">
        <x:f t="shared" si="26"/>
        <x:v>169</x:v>
      </x:c>
      <x:c r="EH47" s="73" t="s">
        <x:v>37</x:v>
      </x:c>
      <x:c r="EI47" s="73" t="s">
        <x:v>209</x:v>
      </x:c>
      <x:c r="EJ47" s="142"/>
    </x:row>
    <x:row r="48" ht="54.75" customHeight="1">
      <x:c r="A48" s="76">
        <x:v>31</x:v>
      </x:c>
      <x:c r="B48" s="143" t="s">
        <x:v>210</x:v>
      </x:c>
      <x:c r="C48" s="73" t="s">
        <x:v>211</x:v>
      </x:c>
      <x:c r="D48" s="73" t="s">
        <x:v>212</x:v>
      </x:c>
      <x:c r="E48" s="73" t="s">
        <x:v>213</x:v>
      </x:c>
      <x:c r="F48" s="119">
        <x:f t="shared" si="5"/>
        <x:v>45</x:v>
      </x:c>
      <x:c r="G48" s="138">
        <x:v>23</x:v>
      </x:c>
      <x:c r="H48" s="139">
        <x:v>22</x:v>
      </x:c>
      <x:c r="I48" s="139"/>
      <x:c r="J48" s="139"/>
      <x:c r="K48" s="139"/>
      <x:c r="L48" s="74">
        <x:v>0.5</x:v>
      </x:c>
      <x:c r="M48" s="140" t="s">
        <x:v>117</x:v>
      </x:c>
      <x:c r="N48" s="73"/>
      <x:c r="O48" s="75" t="s">
        <x:v>99</x:v>
      </x:c>
      <x:c r="P48" s="85" t="s">
        <x:v>29</x:v>
      </x:c>
      <x:c r="Q48" s="138">
        <x:v>23</x:v>
      </x:c>
      <x:c r="R48" s="139">
        <x:v>22</x:v>
      </x:c>
      <x:c r="S48" s="139"/>
      <x:c r="T48" s="139"/>
      <x:c r="U48" s="139"/>
      <x:c r="V48" s="123">
        <x:f t="shared" si="6"/>
        <x:v>45</x:v>
      </x:c>
      <x:c r="W48" s="138">
        <x:v>23</x:v>
      </x:c>
      <x:c r="X48" s="139">
        <x:v>22</x:v>
      </x:c>
      <x:c r="Y48" s="139"/>
      <x:c r="Z48" s="139"/>
      <x:c r="AA48" s="139"/>
      <x:c r="AB48" s="123">
        <x:f t="shared" si="7"/>
        <x:v>45</x:v>
      </x:c>
      <x:c r="AC48" s="138">
        <x:v>23</x:v>
      </x:c>
      <x:c r="AD48" s="139">
        <x:v>22</x:v>
      </x:c>
      <x:c r="AE48" s="139"/>
      <x:c r="AF48" s="139"/>
      <x:c r="AG48" s="139"/>
      <x:c r="AH48" s="123">
        <x:f t="shared" si="8"/>
        <x:v>45</x:v>
      </x:c>
      <x:c r="AI48" s="138">
        <x:v>23</x:v>
      </x:c>
      <x:c r="AJ48" s="139">
        <x:v>22</x:v>
      </x:c>
      <x:c r="AK48" s="139"/>
      <x:c r="AL48" s="139"/>
      <x:c r="AM48" s="139"/>
      <x:c r="AN48" s="123">
        <x:f t="shared" si="9"/>
        <x:v>45</x:v>
      </x:c>
      <x:c r="AO48" s="138">
        <x:v>23</x:v>
      </x:c>
      <x:c r="AP48" s="139">
        <x:v>22</x:v>
      </x:c>
      <x:c r="AQ48" s="139"/>
      <x:c r="AR48" s="139"/>
      <x:c r="AS48" s="139"/>
      <x:c r="AT48" s="123">
        <x:f t="shared" si="10"/>
        <x:v>45</x:v>
      </x:c>
      <x:c r="AU48" s="138">
        <x:v>23</x:v>
      </x:c>
      <x:c r="AV48" s="139">
        <x:v>22</x:v>
      </x:c>
      <x:c r="AW48" s="139"/>
      <x:c r="AX48" s="139"/>
      <x:c r="AY48" s="139"/>
      <x:c r="AZ48" s="123">
        <x:f t="shared" si="11"/>
        <x:v>45</x:v>
      </x:c>
      <x:c r="BA48" s="138">
        <x:v>23</x:v>
      </x:c>
      <x:c r="BB48" s="139">
        <x:v>22</x:v>
      </x:c>
      <x:c r="BC48" s="139"/>
      <x:c r="BD48" s="139"/>
      <x:c r="BE48" s="139"/>
      <x:c r="BF48" s="123">
        <x:f t="shared" si="12"/>
        <x:v>45</x:v>
      </x:c>
      <x:c r="BG48" s="138">
        <x:v>23</x:v>
      </x:c>
      <x:c r="BH48" s="139">
        <x:v>22</x:v>
      </x:c>
      <x:c r="BI48" s="139"/>
      <x:c r="BJ48" s="139"/>
      <x:c r="BK48" s="139"/>
      <x:c r="BL48" s="123">
        <x:f t="shared" si="13"/>
        <x:v>45</x:v>
      </x:c>
      <x:c r="BM48" s="138">
        <x:v>23</x:v>
      </x:c>
      <x:c r="BN48" s="139">
        <x:v>22</x:v>
      </x:c>
      <x:c r="BO48" s="139"/>
      <x:c r="BP48" s="139"/>
      <x:c r="BQ48" s="139"/>
      <x:c r="BR48" s="123">
        <x:f t="shared" si="14"/>
        <x:v>45</x:v>
      </x:c>
      <x:c r="BS48" s="138">
        <x:v>23</x:v>
      </x:c>
      <x:c r="BT48" s="139">
        <x:v>22</x:v>
      </x:c>
      <x:c r="BU48" s="139"/>
      <x:c r="BV48" s="139"/>
      <x:c r="BW48" s="139"/>
      <x:c r="BX48" s="123">
        <x:f t="shared" si="15"/>
        <x:v>45</x:v>
      </x:c>
      <x:c r="BY48" s="138">
        <x:v>23</x:v>
      </x:c>
      <x:c r="BZ48" s="139">
        <x:v>22</x:v>
      </x:c>
      <x:c r="CA48" s="139"/>
      <x:c r="CB48" s="139"/>
      <x:c r="CC48" s="139"/>
      <x:c r="CD48" s="123">
        <x:f t="shared" si="16"/>
        <x:v>45</x:v>
      </x:c>
      <x:c r="CE48" s="144"/>
      <x:c r="CF48" s="116"/>
      <x:c r="CG48" s="116"/>
      <x:c r="CH48" s="116"/>
      <x:c r="CI48" s="116"/>
      <x:c r="CJ48" s="123">
        <x:f t="shared" si="17"/>
        <x:v>0</x:v>
      </x:c>
      <x:c r="CK48" s="127"/>
      <x:c r="CL48" s="115"/>
      <x:c r="CM48" s="115"/>
      <x:c r="CN48" s="115"/>
      <x:c r="CO48" s="115"/>
      <x:c r="CP48" s="123">
        <x:f t="shared" si="18"/>
        <x:v>0</x:v>
      </x:c>
      <x:c r="CQ48" s="127"/>
      <x:c r="CR48" s="115"/>
      <x:c r="CS48" s="115"/>
      <x:c r="CT48" s="115"/>
      <x:c r="CU48" s="115"/>
      <x:c r="CV48" s="123">
        <x:f t="shared" si="19"/>
        <x:v>0</x:v>
      </x:c>
      <x:c r="CW48" s="127"/>
      <x:c r="CX48" s="115"/>
      <x:c r="CY48" s="115"/>
      <x:c r="CZ48" s="115"/>
      <x:c r="DA48" s="115"/>
      <x:c r="DB48" s="123">
        <x:f t="shared" si="20"/>
        <x:v>0</x:v>
      </x:c>
      <x:c r="DC48" s="127"/>
      <x:c r="DD48" s="115"/>
      <x:c r="DE48" s="115"/>
      <x:c r="DF48" s="115"/>
      <x:c r="DG48" s="115"/>
      <x:c r="DH48" s="123">
        <x:f t="shared" si="21"/>
        <x:v>0</x:v>
      </x:c>
      <x:c r="DI48" s="127"/>
      <x:c r="DJ48" s="115"/>
      <x:c r="DK48" s="115"/>
      <x:c r="DL48" s="115"/>
      <x:c r="DM48" s="115"/>
      <x:c r="DN48" s="123">
        <x:f t="shared" si="22"/>
        <x:v>0</x:v>
      </x:c>
      <x:c r="DO48" s="144"/>
      <x:c r="DP48" s="116"/>
      <x:c r="DQ48" s="116"/>
      <x:c r="DR48" s="116"/>
      <x:c r="DS48" s="116"/>
      <x:c r="DT48" s="123">
        <x:f t="shared" si="23"/>
        <x:v>0</x:v>
      </x:c>
      <x:c r="DU48" s="127"/>
      <x:c r="DV48" s="115"/>
      <x:c r="DW48" s="115"/>
      <x:c r="DX48" s="115"/>
      <x:c r="DY48" s="115"/>
      <x:c r="DZ48" s="123">
        <x:f t="shared" si="24"/>
        <x:v>0</x:v>
      </x:c>
      <x:c r="EA48" s="127"/>
      <x:c r="EB48" s="115"/>
      <x:c r="EC48" s="115"/>
      <x:c r="ED48" s="115"/>
      <x:c r="EE48" s="115"/>
      <x:c r="EF48" s="123">
        <x:f t="shared" si="25"/>
        <x:v>0</x:v>
      </x:c>
      <x:c r="EG48" s="146">
        <x:f t="shared" si="26"/>
        <x:v>495</x:v>
      </x:c>
      <x:c r="EH48" s="73" t="s">
        <x:v>37</x:v>
      </x:c>
      <x:c r="EI48" s="73" t="s">
        <x:v>214</x:v>
      </x:c>
      <x:c r="EJ48" s="142"/>
    </x:row>
    <x:row r="49" ht="54.75" customHeight="1">
      <x:c r="A49" s="76">
        <x:v>32</x:v>
      </x:c>
      <x:c r="B49" s="150" t="s">
        <x:v>215</x:v>
      </x:c>
      <x:c r="C49" s="73" t="s">
        <x:v>216</x:v>
      </x:c>
      <x:c r="D49" s="73" t="s">
        <x:v>217</x:v>
      </x:c>
      <x:c r="E49" s="73" t="s">
        <x:v>217</x:v>
      </x:c>
      <x:c r="F49" s="119">
        <x:f t="shared" si="5"/>
        <x:v>35</x:v>
      </x:c>
      <x:c r="G49" s="138">
        <x:v>19</x:v>
      </x:c>
      <x:c r="H49" s="139">
        <x:v>16</x:v>
      </x:c>
      <x:c r="I49" s="139"/>
      <x:c r="J49" s="139"/>
      <x:c r="K49" s="139"/>
      <x:c r="L49" s="74">
        <x:v>0.49305555555555558</x:v>
      </x:c>
      <x:c r="M49" s="73" t="s">
        <x:v>153</x:v>
      </x:c>
      <x:c r="N49" s="73"/>
      <x:c r="O49" s="75" t="s">
        <x:v>99</x:v>
      </x:c>
      <x:c r="P49" s="85" t="s">
        <x:v>29</x:v>
      </x:c>
      <x:c r="Q49" s="138">
        <x:v>19</x:v>
      </x:c>
      <x:c r="R49" s="139">
        <x:v>16</x:v>
      </x:c>
      <x:c r="S49" s="139"/>
      <x:c r="T49" s="139"/>
      <x:c r="U49" s="139"/>
      <x:c r="V49" s="123">
        <x:f t="shared" si="6"/>
        <x:v>35</x:v>
      </x:c>
      <x:c r="W49" s="138">
        <x:v>19</x:v>
      </x:c>
      <x:c r="X49" s="139">
        <x:v>16</x:v>
      </x:c>
      <x:c r="Y49" s="139"/>
      <x:c r="Z49" s="139"/>
      <x:c r="AA49" s="139"/>
      <x:c r="AB49" s="123">
        <x:f t="shared" si="7"/>
        <x:v>35</x:v>
      </x:c>
      <x:c r="AC49" s="138">
        <x:v>19</x:v>
      </x:c>
      <x:c r="AD49" s="139">
        <x:v>16</x:v>
      </x:c>
      <x:c r="AE49" s="139"/>
      <x:c r="AF49" s="139"/>
      <x:c r="AG49" s="139"/>
      <x:c r="AH49" s="123">
        <x:f t="shared" si="8"/>
        <x:v>35</x:v>
      </x:c>
      <x:c r="AI49" s="138">
        <x:v>19</x:v>
      </x:c>
      <x:c r="AJ49" s="139">
        <x:v>16</x:v>
      </x:c>
      <x:c r="AK49" s="139"/>
      <x:c r="AL49" s="139"/>
      <x:c r="AM49" s="139"/>
      <x:c r="AN49" s="123">
        <x:f t="shared" si="9"/>
        <x:v>35</x:v>
      </x:c>
      <x:c r="AO49" s="138">
        <x:v>19</x:v>
      </x:c>
      <x:c r="AP49" s="139">
        <x:v>16</x:v>
      </x:c>
      <x:c r="AQ49" s="139"/>
      <x:c r="AR49" s="139"/>
      <x:c r="AS49" s="139"/>
      <x:c r="AT49" s="123">
        <x:f t="shared" si="10"/>
        <x:v>35</x:v>
      </x:c>
      <x:c r="AU49" s="138">
        <x:v>19</x:v>
      </x:c>
      <x:c r="AV49" s="139">
        <x:v>16</x:v>
      </x:c>
      <x:c r="AW49" s="139"/>
      <x:c r="AX49" s="139"/>
      <x:c r="AY49" s="139"/>
      <x:c r="AZ49" s="123">
        <x:f t="shared" si="11"/>
        <x:v>35</x:v>
      </x:c>
      <x:c r="BA49" s="138">
        <x:v>19</x:v>
      </x:c>
      <x:c r="BB49" s="139">
        <x:v>16</x:v>
      </x:c>
      <x:c r="BC49" s="139"/>
      <x:c r="BD49" s="139"/>
      <x:c r="BE49" s="139"/>
      <x:c r="BF49" s="123">
        <x:f t="shared" si="12"/>
        <x:v>35</x:v>
      </x:c>
      <x:c r="BG49" s="138">
        <x:v>19</x:v>
      </x:c>
      <x:c r="BH49" s="139">
        <x:v>16</x:v>
      </x:c>
      <x:c r="BI49" s="139"/>
      <x:c r="BJ49" s="139"/>
      <x:c r="BK49" s="139"/>
      <x:c r="BL49" s="123">
        <x:f t="shared" si="13"/>
        <x:v>35</x:v>
      </x:c>
      <x:c r="BM49" s="138">
        <x:v>19</x:v>
      </x:c>
      <x:c r="BN49" s="139">
        <x:v>16</x:v>
      </x:c>
      <x:c r="BO49" s="139"/>
      <x:c r="BP49" s="139"/>
      <x:c r="BQ49" s="139"/>
      <x:c r="BR49" s="123">
        <x:f t="shared" si="14"/>
        <x:v>35</x:v>
      </x:c>
      <x:c r="BS49" s="138">
        <x:v>19</x:v>
      </x:c>
      <x:c r="BT49" s="139">
        <x:v>16</x:v>
      </x:c>
      <x:c r="BU49" s="139"/>
      <x:c r="BV49" s="139"/>
      <x:c r="BW49" s="139"/>
      <x:c r="BX49" s="123">
        <x:f t="shared" si="15"/>
        <x:v>35</x:v>
      </x:c>
      <x:c r="BY49" s="138">
        <x:v>19</x:v>
      </x:c>
      <x:c r="BZ49" s="139">
        <x:v>16</x:v>
      </x:c>
      <x:c r="CA49" s="139"/>
      <x:c r="CB49" s="139"/>
      <x:c r="CC49" s="139"/>
      <x:c r="CD49" s="123">
        <x:f t="shared" si="16"/>
        <x:v>35</x:v>
      </x:c>
      <x:c r="CE49" s="138">
        <x:v>19</x:v>
      </x:c>
      <x:c r="CF49" s="139">
        <x:v>16</x:v>
      </x:c>
      <x:c r="CG49" s="139"/>
      <x:c r="CH49" s="139"/>
      <x:c r="CI49" s="139"/>
      <x:c r="CJ49" s="123">
        <x:f t="shared" si="17"/>
        <x:v>35</x:v>
      </x:c>
      <x:c r="CK49" s="144"/>
      <x:c r="CL49" s="116"/>
      <x:c r="CM49" s="116"/>
      <x:c r="CN49" s="116"/>
      <x:c r="CO49" s="116"/>
      <x:c r="CP49" s="123">
        <x:f t="shared" si="18"/>
        <x:v>0</x:v>
      </x:c>
      <x:c r="CQ49" s="144"/>
      <x:c r="CR49" s="116"/>
      <x:c r="CS49" s="116"/>
      <x:c r="CT49" s="116"/>
      <x:c r="CU49" s="116"/>
      <x:c r="CV49" s="123">
        <x:f t="shared" si="19"/>
        <x:v>0</x:v>
      </x:c>
      <x:c r="CW49" s="144"/>
      <x:c r="CX49" s="116"/>
      <x:c r="CY49" s="116"/>
      <x:c r="CZ49" s="116"/>
      <x:c r="DA49" s="116"/>
      <x:c r="DB49" s="123">
        <x:f t="shared" si="20"/>
        <x:v>0</x:v>
      </x:c>
      <x:c r="DC49" s="144"/>
      <x:c r="DD49" s="116"/>
      <x:c r="DE49" s="116"/>
      <x:c r="DF49" s="116"/>
      <x:c r="DG49" s="116"/>
      <x:c r="DH49" s="123">
        <x:f t="shared" si="21"/>
        <x:v>0</x:v>
      </x:c>
      <x:c r="DI49" s="144"/>
      <x:c r="DJ49" s="116"/>
      <x:c r="DK49" s="116"/>
      <x:c r="DL49" s="116"/>
      <x:c r="DM49" s="116"/>
      <x:c r="DN49" s="123">
        <x:f t="shared" si="22"/>
        <x:v>0</x:v>
      </x:c>
      <x:c r="DO49" s="144"/>
      <x:c r="DP49" s="116"/>
      <x:c r="DQ49" s="116"/>
      <x:c r="DR49" s="116"/>
      <x:c r="DS49" s="116"/>
      <x:c r="DT49" s="123">
        <x:f t="shared" si="23"/>
        <x:v>0</x:v>
      </x:c>
      <x:c r="DU49" s="144"/>
      <x:c r="DV49" s="116"/>
      <x:c r="DW49" s="116"/>
      <x:c r="DX49" s="116"/>
      <x:c r="DY49" s="116"/>
      <x:c r="DZ49" s="123">
        <x:f t="shared" si="24"/>
        <x:v>0</x:v>
      </x:c>
      <x:c r="EA49" s="144"/>
      <x:c r="EB49" s="116"/>
      <x:c r="EC49" s="116"/>
      <x:c r="ED49" s="116"/>
      <x:c r="EE49" s="116"/>
      <x:c r="EF49" s="123">
        <x:f t="shared" si="25"/>
        <x:v>0</x:v>
      </x:c>
      <x:c r="EG49" s="146">
        <x:f t="shared" si="26"/>
        <x:v>420</x:v>
      </x:c>
      <x:c r="EH49" s="73" t="s">
        <x:v>45</x:v>
      </x:c>
      <x:c r="EI49" s="73" t="s">
        <x:v>218</x:v>
      </x:c>
      <x:c r="EJ49" s="142"/>
    </x:row>
  </x:sheetData>
  <x:mergeCells>
    <x:mergeCell ref="A8:B8"/>
    <x:mergeCell ref="CQ6:CV6"/>
    <x:mergeCell ref="CW6:DB6"/>
    <x:mergeCell ref="DC6:DH6"/>
    <x:mergeCell ref="DI6:DN6"/>
    <x:mergeCell ref="BG6:BL6"/>
    <x:mergeCell ref="BM6:BR6"/>
    <x:mergeCell ref="BS6:BX6"/>
    <x:mergeCell ref="BY6:CD6"/>
    <x:mergeCell ref="CE6:CJ6"/>
    <x:mergeCell ref="BA6:BF6"/>
    <x:mergeCell ref="EG6:EG7"/>
    <x:mergeCell ref="EH6:EI6"/>
    <x:mergeCell ref="EJ6:EJ7"/>
    <x:mergeCell ref="DO6:DT6"/>
    <x:mergeCell ref="DU6:DZ6"/>
    <x:mergeCell ref="B5:EI5"/>
    <x:mergeCell ref="A6:A7"/>
    <x:mergeCell ref="B6:B7"/>
    <x:mergeCell ref="C6:C7"/>
    <x:mergeCell ref="D6:D7"/>
    <x:mergeCell ref="E6:E7"/>
    <x:mergeCell ref="F6:K6"/>
    <x:mergeCell ref="L6:P6"/>
    <x:mergeCell ref="Q6:V6"/>
    <x:mergeCell ref="CK6:CP6"/>
    <x:mergeCell ref="W6:AB6"/>
    <x:mergeCell ref="AC6:AH6"/>
    <x:mergeCell ref="AI6:AN6"/>
    <x:mergeCell ref="AO6:AT6"/>
    <x:mergeCell ref="AU6:AZ6"/>
    <x:mergeCell ref="EA6:EF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3.5"/>
  <x:cols>
    <x:col min="2" max="2" width="11.88671875" customWidth="1"/>
    <x:col min="3" max="5" width="6.44140625" customWidth="1"/>
    <x:col min="6" max="14" width="8.5546875" customWidth="1"/>
    <x:col min="15" max="15" width="9.44140625" customWidth="1"/>
    <x:col min="16" max="17" width="8.5546875" customWidth="1"/>
    <x:col min="18" max="18" width="8" customWidth="1"/>
    <x:col min="19" max="19" width="10.21875" customWidth="1"/>
    <x:col min="20" max="25" width="8" customWidth="1"/>
    <x:col min="26" max="26" width="13.21875" customWidth="1"/>
  </x:cols>
  <x:sheetData>
    <x:row r="1" ht="47.25" customHeight="1">
      <x:c r="A1" s="205" t="s">
        <x:v>352</x:v>
      </x:c>
      <x:c r="B1" s="206"/>
      <x:c r="C1" s="206"/>
      <x:c r="D1" s="206"/>
      <x:c r="E1" s="206"/>
      <x:c r="F1" s="206"/>
      <x:c r="G1" s="206"/>
      <x:c r="H1" s="206"/>
      <x:c r="I1" s="206"/>
      <x:c r="J1" s="206"/>
      <x:c r="K1" s="206"/>
      <x:c r="L1" s="206"/>
      <x:c r="M1" s="206"/>
      <x:c r="N1" s="206"/>
      <x:c r="O1" s="206"/>
      <x:c r="P1" s="206"/>
      <x:c r="Q1" s="206"/>
      <x:c r="R1" s="206"/>
      <x:c r="S1" s="206"/>
      <x:c r="T1" s="206"/>
      <x:c r="U1" s="206"/>
      <x:c r="V1" s="206"/>
      <x:c r="W1" s="206"/>
      <x:c r="X1" s="206"/>
      <x:c r="Y1" s="206"/>
      <x:c r="Z1" s="206"/>
    </x:row>
    <x:row r="2" s="2" customFormat="1" ht="21" customHeight="1">
      <x:c r="B2" s="3"/>
      <x:c r="C2" s="1"/>
      <x:c r="D2" s="1"/>
      <x:c r="U2" s="219" t="s">
        <x:v>353</x:v>
      </x:c>
      <x:c r="V2" s="219"/>
      <x:c r="W2" s="219"/>
      <x:c r="X2" s="219"/>
      <x:c r="Y2" s="219"/>
      <x:c r="Z2" s="219"/>
    </x:row>
    <x:row r="3" ht="26.25" customHeight="1">
      <x:c r="A3" s="207" t="s">
        <x:v>354</x:v>
      </x:c>
      <x:c r="B3" s="212" t="s">
        <x:v>355</x:v>
      </x:c>
      <x:c r="C3" s="212" t="s">
        <x:v>356</x:v>
      </x:c>
      <x:c r="D3" s="212"/>
      <x:c r="E3" s="215"/>
      <x:c r="F3" s="211" t="s">
        <x:v>357</x:v>
      </x:c>
      <x:c r="G3" s="212"/>
      <x:c r="H3" s="212"/>
      <x:c r="I3" s="213"/>
      <x:c r="J3" s="218" t="s">
        <x:v>358</x:v>
      </x:c>
      <x:c r="K3" s="212"/>
      <x:c r="L3" s="212"/>
      <x:c r="M3" s="215"/>
      <x:c r="N3" s="211" t="s">
        <x:v>359</x:v>
      </x:c>
      <x:c r="O3" s="212"/>
      <x:c r="P3" s="212"/>
      <x:c r="Q3" s="213"/>
      <x:c r="R3" s="211" t="s">
        <x:v>360</x:v>
      </x:c>
      <x:c r="S3" s="212"/>
      <x:c r="T3" s="212"/>
      <x:c r="U3" s="213"/>
      <x:c r="V3" s="220" t="s">
        <x:v>361</x:v>
      </x:c>
      <x:c r="W3" s="221"/>
      <x:c r="X3" s="221"/>
      <x:c r="Y3" s="222"/>
      <x:c r="Z3" s="216" t="s">
        <x:v>362</x:v>
      </x:c>
    </x:row>
    <x:row r="4" ht="26.25" customHeight="1">
      <x:c r="A4" s="208"/>
      <x:c r="B4" s="214"/>
      <x:c r="C4" s="10" t="s">
        <x:v>363</x:v>
      </x:c>
      <x:c r="D4" s="10" t="s">
        <x:v>364</x:v>
      </x:c>
      <x:c r="E4" s="29" t="s">
        <x:v>365</x:v>
      </x:c>
      <x:c r="F4" s="30" t="s">
        <x:v>296</x:v>
      </x:c>
      <x:c r="G4" s="10" t="s">
        <x:v>366</x:v>
      </x:c>
      <x:c r="H4" s="10" t="s">
        <x:v>367</x:v>
      </x:c>
      <x:c r="I4" s="31" t="s">
        <x:v>368</x:v>
      </x:c>
      <x:c r="J4" s="32" t="s">
        <x:v>296</x:v>
      </x:c>
      <x:c r="K4" s="55" t="s">
        <x:v>366</x:v>
      </x:c>
      <x:c r="L4" s="10" t="s">
        <x:v>367</x:v>
      </x:c>
      <x:c r="M4" s="29" t="s">
        <x:v>368</x:v>
      </x:c>
      <x:c r="N4" s="30" t="s">
        <x:v>296</x:v>
      </x:c>
      <x:c r="O4" s="55" t="s">
        <x:v>366</x:v>
      </x:c>
      <x:c r="P4" s="10" t="s">
        <x:v>367</x:v>
      </x:c>
      <x:c r="Q4" s="31" t="s">
        <x:v>368</x:v>
      </x:c>
      <x:c r="R4" s="30" t="s">
        <x:v>296</x:v>
      </x:c>
      <x:c r="S4" s="46" t="s">
        <x:v>366</x:v>
      </x:c>
      <x:c r="T4" s="33" t="s">
        <x:v>367</x:v>
      </x:c>
      <x:c r="U4" s="31" t="s">
        <x:v>368</x:v>
      </x:c>
      <x:c r="V4" s="32" t="s">
        <x:v>296</x:v>
      </x:c>
      <x:c r="W4" s="46" t="s">
        <x:v>366</x:v>
      </x:c>
      <x:c r="X4" s="33" t="s">
        <x:v>367</x:v>
      </x:c>
      <x:c r="Y4" s="29" t="s">
        <x:v>368</x:v>
      </x:c>
      <x:c r="Z4" s="217"/>
    </x:row>
    <x:row r="5" ht="30" customHeight="1">
      <x:c r="A5" s="38" t="s">
        <x:v>369</x:v>
      </x:c>
      <x:c r="B5" s="39" t="s">
        <x:v>313</x:v>
      </x:c>
      <x:c r="C5" s="40"/>
      <x:c r="D5" s="40"/>
      <x:c r="E5" s="41"/>
      <x:c r="F5" s="42"/>
      <x:c r="G5" s="43"/>
      <x:c r="H5" s="43"/>
      <x:c r="I5" s="44"/>
      <x:c r="J5" s="45"/>
      <x:c r="K5" s="43"/>
      <x:c r="L5" s="43"/>
      <x:c r="M5" s="43"/>
      <x:c r="N5" s="42"/>
      <x:c r="O5" s="43"/>
      <x:c r="P5" s="43"/>
      <x:c r="Q5" s="44"/>
      <x:c r="R5" s="42"/>
      <x:c r="S5" s="34"/>
      <x:c r="T5" s="43"/>
      <x:c r="U5" s="44"/>
      <x:c r="V5" s="42"/>
      <x:c r="W5" s="34"/>
      <x:c r="X5" s="43"/>
      <x:c r="Y5" s="44"/>
      <x:c r="Z5" s="35"/>
    </x:row>
    <x:row r="6" ht="30" customHeight="1">
      <x:c r="A6" s="209" t="s">
        <x:v>370</x:v>
      </x:c>
      <x:c r="B6" s="11" t="s">
        <x:v>371</x:v>
      </x:c>
      <x:c r="C6" s="12" t="n">
        <x:f>SUM(C7:C13)</x:f>
        <x:v>1</x:v>
      </x:c>
      <x:c r="D6" s="12" t="n">
        <x:f>SUM(D7:D13)</x:f>
        <x:v>0</x:v>
      </x:c>
      <x:c r="E6" s="15" t="n">
        <x:f>D6/C6</x:f>
        <x:v>0</x:v>
      </x:c>
      <x:c r="F6" s="64" t="n">
        <x:f t="shared" ref="F6" si="0">SUM(G6:I6)</x:f>
        <x:v>400000000</x:v>
      </x:c>
      <x:c r="G6" s="65">
        <x:v>200000000</x:v>
      </x:c>
      <x:c r="H6" s="65">
        <x:v>80000000</x:v>
      </x:c>
      <x:c r="I6" s="66">
        <x:v>120000000</x:v>
      </x:c>
      <x:c r="J6" s="18"/>
      <x:c r="K6" s="4"/>
      <x:c r="L6" s="4"/>
      <x:c r="M6" s="25"/>
      <x:c r="N6" s="64" t="n">
        <x:f t="shared" ref="N6" si="1">SUM(O6:Q6)</x:f>
        <x:v>400000000</x:v>
      </x:c>
      <x:c r="O6" s="65">
        <x:v>200000000</x:v>
      </x:c>
      <x:c r="P6" s="65">
        <x:v>80000000</x:v>
      </x:c>
      <x:c r="Q6" s="66">
        <x:v>120000000</x:v>
      </x:c>
      <x:c r="R6" s="64" t="n">
        <x:f t="shared" ref="R6" si="2">SUM(S6:U6)</x:f>
        <x:v>400000000</x:v>
      </x:c>
      <x:c r="S6" s="67">
        <x:v>200000000</x:v>
      </x:c>
      <x:c r="T6" s="65">
        <x:v>80000000</x:v>
      </x:c>
      <x:c r="U6" s="66">
        <x:v>120000000</x:v>
      </x:c>
      <x:c r="V6" s="52"/>
      <x:c r="W6" s="53"/>
      <x:c r="X6" s="5"/>
      <x:c r="Y6" s="50"/>
      <x:c r="Z6" s="36">
        <x:v>200000000</x:v>
      </x:c>
    </x:row>
    <x:row r="7" ht="33" customHeight="1">
      <x:c r="A7" s="208"/>
      <x:c r="B7" s="26" t="s">
        <x:v>372</x:v>
      </x:c>
      <x:c r="C7" s="6">
        <x:v>1</x:v>
      </x:c>
      <x:c r="D7" s="6" t="s">
        <x:v>373</x:v>
      </x:c>
      <x:c r="E7" s="13" t="n">
        <x:f>-N12</x:f>
        <x:v>0</x:v>
      </x:c>
      <x:c r="F7" s="64" t="n">
        <x:f t="shared" ref="F7" si="3">SUM(G7:I7)</x:f>
        <x:v>400000000</x:v>
      </x:c>
      <x:c r="G7" s="65">
        <x:v>200000000</x:v>
      </x:c>
      <x:c r="H7" s="65">
        <x:v>80000000</x:v>
      </x:c>
      <x:c r="I7" s="66">
        <x:v>120000000</x:v>
      </x:c>
      <x:c r="J7" s="16"/>
      <x:c r="K7" s="7"/>
      <x:c r="L7" s="7"/>
      <x:c r="M7" s="23"/>
      <x:c r="N7" s="64" t="n">
        <x:f t="shared" ref="N7" si="4">SUM(O7:Q7)</x:f>
        <x:v>400000000</x:v>
      </x:c>
      <x:c r="O7" s="65">
        <x:v>200000000</x:v>
      </x:c>
      <x:c r="P7" s="65">
        <x:v>80000000</x:v>
      </x:c>
      <x:c r="Q7" s="66">
        <x:v>120000000</x:v>
      </x:c>
      <x:c r="R7" s="64" t="n">
        <x:f t="shared" ref="R7" si="5">SUM(S7:U7)</x:f>
        <x:v>400000000</x:v>
      </x:c>
      <x:c r="S7" s="67">
        <x:v>200000000</x:v>
      </x:c>
      <x:c r="T7" s="65">
        <x:v>80000000</x:v>
      </x:c>
      <x:c r="U7" s="66">
        <x:v>120000000</x:v>
      </x:c>
      <x:c r="V7" s="52"/>
      <x:c r="W7" s="53"/>
      <x:c r="X7" s="5"/>
      <x:c r="Y7" s="50"/>
      <x:c r="Z7" s="36">
        <x:v>200000000</x:v>
      </x:c>
    </x:row>
    <x:row r="8" ht="33" customHeight="1">
      <x:c r="A8" s="208"/>
      <x:c r="B8" s="26"/>
      <x:c r="C8" s="6"/>
      <x:c r="D8" s="6"/>
      <x:c r="E8" s="13"/>
      <x:c r="F8" s="56"/>
      <x:c r="G8" s="57"/>
      <x:c r="H8" s="57"/>
      <x:c r="I8" s="58"/>
      <x:c r="J8" s="59"/>
      <x:c r="K8" s="57"/>
      <x:c r="L8" s="57"/>
      <x:c r="M8" s="60"/>
      <x:c r="N8" s="56"/>
      <x:c r="O8" s="57"/>
      <x:c r="P8" s="57"/>
      <x:c r="Q8" s="58"/>
      <x:c r="R8" s="56"/>
      <x:c r="S8" s="61"/>
      <x:c r="T8" s="62"/>
      <x:c r="U8" s="63"/>
      <x:c r="V8" s="52"/>
      <x:c r="W8" s="53"/>
      <x:c r="X8" s="5"/>
      <x:c r="Y8" s="50"/>
      <x:c r="Z8" s="36"/>
    </x:row>
    <x:row r="9" ht="27" customHeight="1">
      <x:c r="A9" s="208"/>
      <x:c r="B9" s="26"/>
      <x:c r="C9" s="6"/>
      <x:c r="D9" s="6"/>
      <x:c r="E9" s="13"/>
      <x:c r="F9" s="19"/>
      <x:c r="G9" s="7"/>
      <x:c r="H9" s="7"/>
      <x:c r="I9" s="20"/>
      <x:c r="J9" s="16"/>
      <x:c r="K9" s="7"/>
      <x:c r="L9" s="7"/>
      <x:c r="M9" s="23"/>
      <x:c r="N9" s="19"/>
      <x:c r="O9" s="7"/>
      <x:c r="P9" s="7"/>
      <x:c r="Q9" s="20"/>
      <x:c r="R9" s="19"/>
      <x:c r="S9" s="48"/>
      <x:c r="T9" s="5"/>
      <x:c r="U9" s="50"/>
      <x:c r="V9" s="52"/>
      <x:c r="W9" s="53"/>
      <x:c r="X9" s="5"/>
      <x:c r="Y9" s="50"/>
      <x:c r="Z9" s="36"/>
    </x:row>
    <x:row r="10" ht="30.75" customHeight="1">
      <x:c r="A10" s="208"/>
      <x:c r="B10" s="26"/>
      <x:c r="C10" s="6"/>
      <x:c r="D10" s="6"/>
      <x:c r="E10" s="13"/>
      <x:c r="F10" s="19"/>
      <x:c r="G10" s="7"/>
      <x:c r="H10" s="7"/>
      <x:c r="I10" s="20"/>
      <x:c r="J10" s="16"/>
      <x:c r="K10" s="7"/>
      <x:c r="L10" s="7"/>
      <x:c r="M10" s="23"/>
      <x:c r="N10" s="19"/>
      <x:c r="O10" s="7"/>
      <x:c r="P10" s="7"/>
      <x:c r="Q10" s="20"/>
      <x:c r="R10" s="19"/>
      <x:c r="S10" s="48"/>
      <x:c r="T10" s="5"/>
      <x:c r="U10" s="50"/>
      <x:c r="V10" s="52"/>
      <x:c r="W10" s="53"/>
      <x:c r="X10" s="5"/>
      <x:c r="Y10" s="50"/>
      <x:c r="Z10" s="36"/>
    </x:row>
    <x:row r="11" ht="30" customHeight="1">
      <x:c r="A11" s="208"/>
      <x:c r="B11" s="27"/>
      <x:c r="C11" s="6"/>
      <x:c r="D11" s="6"/>
      <x:c r="E11" s="13"/>
      <x:c r="F11" s="19"/>
      <x:c r="G11" s="7"/>
      <x:c r="H11" s="7"/>
      <x:c r="I11" s="20"/>
      <x:c r="J11" s="16"/>
      <x:c r="K11" s="7"/>
      <x:c r="L11" s="7"/>
      <x:c r="M11" s="23"/>
      <x:c r="N11" s="19"/>
      <x:c r="O11" s="7"/>
      <x:c r="P11" s="7"/>
      <x:c r="Q11" s="20"/>
      <x:c r="R11" s="19"/>
      <x:c r="S11" s="47"/>
      <x:c r="T11" s="7"/>
      <x:c r="U11" s="20"/>
      <x:c r="V11" s="19"/>
      <x:c r="W11" s="51"/>
      <x:c r="X11" s="7"/>
      <x:c r="Y11" s="20"/>
      <x:c r="Z11" s="36"/>
    </x:row>
    <x:row r="12" ht="30" customHeight="1">
      <x:c r="A12" s="208"/>
      <x:c r="B12" s="26"/>
      <x:c r="C12" s="6"/>
      <x:c r="D12" s="6"/>
      <x:c r="E12" s="13"/>
      <x:c r="F12" s="19"/>
      <x:c r="G12" s="7"/>
      <x:c r="H12" s="7"/>
      <x:c r="I12" s="20"/>
      <x:c r="J12" s="16"/>
      <x:c r="K12" s="7"/>
      <x:c r="L12" s="7"/>
      <x:c r="M12" s="23"/>
      <x:c r="N12" s="19"/>
      <x:c r="O12" s="7"/>
      <x:c r="P12" s="7"/>
      <x:c r="Q12" s="20"/>
      <x:c r="R12" s="19"/>
      <x:c r="S12" s="47"/>
      <x:c r="T12" s="7"/>
      <x:c r="U12" s="20"/>
      <x:c r="V12" s="19"/>
      <x:c r="W12" s="51"/>
      <x:c r="X12" s="7"/>
      <x:c r="Y12" s="20"/>
      <x:c r="Z12" s="36"/>
    </x:row>
    <x:row r="13" ht="30" customHeight="1">
      <x:c r="A13" s="210"/>
      <x:c r="B13" s="28"/>
      <x:c r="C13" s="8"/>
      <x:c r="D13" s="8"/>
      <x:c r="E13" s="14"/>
      <x:c r="F13" s="21"/>
      <x:c r="G13" s="9"/>
      <x:c r="H13" s="9"/>
      <x:c r="I13" s="22"/>
      <x:c r="J13" s="17"/>
      <x:c r="K13" s="9"/>
      <x:c r="L13" s="9"/>
      <x:c r="M13" s="24"/>
      <x:c r="N13" s="21"/>
      <x:c r="O13" s="9"/>
      <x:c r="P13" s="9"/>
      <x:c r="Q13" s="22"/>
      <x:c r="R13" s="21"/>
      <x:c r="S13" s="49"/>
      <x:c r="T13" s="9"/>
      <x:c r="U13" s="22"/>
      <x:c r="V13" s="21"/>
      <x:c r="W13" s="54"/>
      <x:c r="X13" s="9"/>
      <x:c r="Y13" s="22"/>
      <x:c r="Z13" s="37"/>
    </x:row>
  </x:sheetData>
  <x:mergeCells>
    <x:mergeCell ref="A1:Z1"/>
    <x:mergeCell ref="A3:A4"/>
    <x:mergeCell ref="A6:A13"/>
    <x:mergeCell ref="R3:U3"/>
    <x:mergeCell ref="B3:B4"/>
    <x:mergeCell ref="C3:E3"/>
    <x:mergeCell ref="F3:I3"/>
    <x:mergeCell ref="N3:Q3"/>
    <x:mergeCell ref="Z3:Z4"/>
    <x:mergeCell ref="J3:M3"/>
    <x:mergeCell ref="U2:Z2"/>
    <x:mergeCell ref="V3:Y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24" hidden="0" customWidth="1"/>
    <x:col min="4" max="4" width="34" hidden="0" customWidth="1"/>
    <x:col min="5" max="5" width="28" hidden="0" customWidth="1"/>
    <x:col min="6" max="6" width="28" hidden="0" customWidth="1"/>
    <x:col min="7" max="7" width="10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9" hidden="0" customWidth="1"/>
    <x:col min="13" max="13" width="11" hidden="0" customWidth="1"/>
    <x:col min="14" max="14" width="22" hidden="0" customWidth="1"/>
    <x:col min="15" max="15" width="18" hidden="0" customWidth="1"/>
    <x:col min="16" max="16" width="12" hidden="0" customWidth="1"/>
    <x:col min="17" max="17" width="10" hidden="0" customWidth="1"/>
    <x:col min="18" max="18" width="18" hidden="0" customWidth="1"/>
    <x:col min="19" max="19" width="18" hidden="0" customWidth="1"/>
    <x:col min="20" max="20" width="14" hidden="0" customWidth="1"/>
    <x:col min="21" max="21" width="12" hidden="0" customWidth="1"/>
    <x:col min="22" max="22" width="12" hidden="0" customWidth="1"/>
    <x:col min="23" max="23" width="12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10" hidden="0" customWidth="1"/>
    <x:col min="53" max="53" width="10" hidden="0" customWidth="1"/>
    <x:col min="54" max="54" width="10" hidden="0" customWidth="1"/>
  </x:cols>
  <x:sheetData>
    <x:row r="1" ht="30" customHeight="1">
      <x:c r="A1" s="242" t="str">
        <x:v>2026년 여름방학 도시락 관리대장</x:v>
      </x:c>
      <x:c r="B1" s="242" t="str">
        <x:v>2026년 여름방학 도시락 관리대장</x:v>
      </x:c>
      <x:c r="C1" s="242" t="str">
        <x:v>2026년 여름방학 도시락 관리대장</x:v>
      </x:c>
      <x:c r="D1" s="242" t="str">
        <x:v>2026년 여름방학 도시락 관리대장</x:v>
      </x:c>
      <x:c r="E1" s="242" t="str">
        <x:v>2026년 여름방학 도시락 관리대장</x:v>
      </x:c>
      <x:c r="F1" s="242" t="str">
        <x:v>2026년 여름방학 도시락 관리대장</x:v>
      </x:c>
      <x:c r="G1" s="242" t="str">
        <x:v>2026년 여름방학 도시락 관리대장</x:v>
      </x:c>
      <x:c r="H1" s="242" t="str">
        <x:v>2026년 여름방학 도시락 관리대장</x:v>
      </x:c>
      <x:c r="I1" s="242" t="str">
        <x:v>2026년 여름방학 도시락 관리대장</x:v>
      </x:c>
      <x:c r="J1" s="242" t="str">
        <x:v>2026년 여름방학 도시락 관리대장</x:v>
      </x:c>
      <x:c r="K1" s="242" t="str">
        <x:v>2026년 여름방학 도시락 관리대장</x:v>
      </x:c>
      <x:c r="L1" s="242" t="str">
        <x:v>2026년 여름방학 도시락 관리대장</x:v>
      </x:c>
      <x:c r="M1" s="242" t="str">
        <x:v>2026년 여름방학 도시락 관리대장</x:v>
      </x:c>
      <x:c r="N1" s="242" t="str">
        <x:v>2026년 여름방학 도시락 관리대장</x:v>
      </x:c>
      <x:c r="O1" s="242" t="str">
        <x:v>2026년 여름방학 도시락 관리대장</x:v>
      </x:c>
      <x:c r="P1" s="242" t="str">
        <x:v>2026년 여름방학 도시락 관리대장</x:v>
      </x:c>
      <x:c r="Q1" s="242" t="str">
        <x:v>2026년 여름방학 도시락 관리대장</x:v>
      </x:c>
      <x:c r="R1" s="242" t="str">
        <x:v>2026년 여름방학 도시락 관리대장</x:v>
      </x:c>
      <x:c r="S1" s="242" t="str">
        <x:v>2026년 여름방학 도시락 관리대장</x:v>
      </x:c>
      <x:c r="T1" s="242" t="str">
        <x:v>2026년 여름방학 도시락 관리대장</x:v>
      </x:c>
      <x:c r="U1" s="242" t="str">
        <x:v>2026년 여름방학 도시락 관리대장</x:v>
      </x:c>
      <x:c r="V1" s="242" t="str">
        <x:v>2026년 여름방학 도시락 관리대장</x:v>
      </x:c>
      <x:c r="W1" s="242" t="str">
        <x:v>2026년 여름방학 도시락 관리대장</x:v>
      </x:c>
      <x:c r="X1" s="242" t="str">
        <x:v>2026년 여름방학 도시락 관리대장</x:v>
      </x:c>
      <x:c r="Y1" s="242" t="str">
        <x:v>2026년 여름방학 도시락 관리대장</x:v>
      </x:c>
      <x:c r="Z1" s="242" t="str">
        <x:v>2026년 여름방학 도시락 관리대장</x:v>
      </x:c>
      <x:c r="AA1" s="242" t="str">
        <x:v>2026년 여름방학 도시락 관리대장</x:v>
      </x:c>
      <x:c r="AB1" s="242" t="str">
        <x:v>2026년 여름방학 도시락 관리대장</x:v>
      </x:c>
      <x:c r="AC1" s="242" t="str">
        <x:v>2026년 여름방학 도시락 관리대장</x:v>
      </x:c>
      <x:c r="AD1" s="242" t="str">
        <x:v>2026년 여름방학 도시락 관리대장</x:v>
      </x:c>
      <x:c r="AE1" s="242" t="str">
        <x:v>2026년 여름방학 도시락 관리대장</x:v>
      </x:c>
      <x:c r="AF1" s="242" t="str">
        <x:v>2026년 여름방학 도시락 관리대장</x:v>
      </x:c>
      <x:c r="AG1" s="242" t="str">
        <x:v>2026년 여름방학 도시락 관리대장</x:v>
      </x:c>
      <x:c r="AH1" s="242" t="str">
        <x:v>2026년 여름방학 도시락 관리대장</x:v>
      </x:c>
      <x:c r="AI1" s="242" t="str">
        <x:v>2026년 여름방학 도시락 관리대장</x:v>
      </x:c>
      <x:c r="AJ1" s="242" t="str">
        <x:v>2026년 여름방학 도시락 관리대장</x:v>
      </x:c>
      <x:c r="AK1" s="242" t="str">
        <x:v>2026년 여름방학 도시락 관리대장</x:v>
      </x:c>
      <x:c r="AL1" s="242" t="str">
        <x:v>2026년 여름방학 도시락 관리대장</x:v>
      </x:c>
      <x:c r="AM1" s="242" t="str">
        <x:v>2026년 여름방학 도시락 관리대장</x:v>
      </x:c>
      <x:c r="AN1" s="242" t="str">
        <x:v>2026년 여름방학 도시락 관리대장</x:v>
      </x:c>
      <x:c r="AO1" s="242" t="str">
        <x:v>2026년 여름방학 도시락 관리대장</x:v>
      </x:c>
      <x:c r="AP1" s="242" t="str">
        <x:v>2026년 여름방학 도시락 관리대장</x:v>
      </x:c>
      <x:c r="AQ1" s="242" t="str">
        <x:v>2026년 여름방학 도시락 관리대장</x:v>
      </x:c>
      <x:c r="AR1" s="242" t="str">
        <x:v>2026년 여름방학 도시락 관리대장</x:v>
      </x:c>
      <x:c r="AS1" s="242" t="str">
        <x:v>2026년 여름방학 도시락 관리대장</x:v>
      </x:c>
      <x:c r="AT1" s="242" t="str">
        <x:v>2026년 여름방학 도시락 관리대장</x:v>
      </x:c>
      <x:c r="AU1" s="242" t="str">
        <x:v>2026년 여름방학 도시락 관리대장</x:v>
      </x:c>
      <x:c r="AV1" s="242" t="str">
        <x:v>2026년 여름방학 도시락 관리대장</x:v>
      </x:c>
      <x:c r="AW1" s="242" t="str">
        <x:v>2026년 여름방학 도시락 관리대장</x:v>
      </x:c>
      <x:c r="AX1" s="242" t="str">
        <x:v>2026년 여름방학 도시락 관리대장</x:v>
      </x:c>
      <x:c r="AY1" s="242" t="str">
        <x:v>2026년 여름방학 도시락 관리대장</x:v>
      </x:c>
      <x:c r="AZ1" s="242" t="str">
        <x:v>2026년 여름방학 도시락 관리대장</x:v>
      </x:c>
      <x:c r="BA1" s="242" t="str">
        <x:v>2026년 여름방학 도시락 관리대장</x:v>
      </x:c>
      <x:c r="BB1" s="242" t="str">
        <x:v>2026년 여름방학 도시락 관리대장</x:v>
      </x:c>
    </x:row>
    <x:row r="3">
      <x:c r="A3" s="248" t="str">
        <x:v>기관 수</x:v>
      </x:c>
      <x:c r="B3" s="251" t="n">
        <x:f>COUNTA(C7:C47)</x:f>
        <x:v>41</x:v>
      </x:c>
      <x:c r="C3" s="249"/>
      <x:c r="D3" s="249" t="str">
        <x:v>신청 인원</x:v>
      </x:c>
      <x:c r="E3" s="251" t="n">
        <x:f>SUM(G7:G47)</x:f>
        <x:v>1157</x:v>
      </x:c>
      <x:c r="F3" s="249"/>
      <x:c r="G3" s="249" t="str">
        <x:v>7월 공급량</x:v>
      </x:c>
      <x:c r="H3" s="251" t="n">
        <x:f>SUM(U7:U47)</x:f>
        <x:v>3116</x:v>
      </x:c>
      <x:c r="I3" s="249"/>
      <x:c r="J3" s="249" t="str">
        <x:v>8월 공급량</x:v>
      </x:c>
      <x:c r="K3" s="251" t="n">
        <x:f>SUM(V7:V47)</x:f>
        <x:v>14168</x:v>
      </x:c>
      <x:c r="L3" s="249"/>
      <x:c r="M3" s="249" t="str">
        <x:v>총 공급량</x:v>
      </x:c>
      <x:c r="N3" s="252" t="n">
        <x:f>SUM(W7:W47)</x:f>
        <x:v>17284</x:v>
      </x:c>
      <x:c r="P3" s="255" t="str">
        <x:v>단위: 개 · 일자별 상세는 별도 시트에서 반별 수량까지 확인할 수 있습니다.</x:v>
      </x:c>
      <x:c r="Q3" s="255"/>
      <x:c r="R3" s="255"/>
      <x:c r="S3" s="255"/>
      <x:c r="T3" s="255"/>
      <x:c r="U3" s="255"/>
      <x:c r="V3" s="255"/>
      <x:c r="W3" s="255"/>
      <x:c r="X3" s="255"/>
      <x:c r="Y3" s="255"/>
      <x:c r="Z3" s="255"/>
      <x:c r="AA3" s="255"/>
      <x:c r="AB3" s="255"/>
      <x:c r="AC3" s="255"/>
      <x:c r="AD3" s="255"/>
      <x:c r="AE3" s="255"/>
      <x:c r="AF3" s="255"/>
      <x:c r="AG3" s="255"/>
      <x:c r="AH3" s="255"/>
      <x:c r="AI3" s="255"/>
      <x:c r="AJ3" s="255"/>
      <x:c r="AK3" s="255"/>
      <x:c r="AL3" s="255"/>
      <x:c r="AM3" s="255"/>
      <x:c r="AN3" s="255"/>
      <x:c r="AO3" s="255"/>
      <x:c r="AP3" s="255"/>
      <x:c r="AQ3" s="255"/>
      <x:c r="AR3" s="255"/>
      <x:c r="AS3" s="255"/>
      <x:c r="AT3" s="255"/>
      <x:c r="AU3" s="255"/>
      <x:c r="AV3" s="255"/>
      <x:c r="AW3" s="255"/>
      <x:c r="AX3" s="255"/>
      <x:c r="AY3" s="255"/>
      <x:c r="AZ3" s="255"/>
      <x:c r="BA3" s="255"/>
      <x:c r="BB3" s="255"/>
    </x:row>
    <x:row r="5">
      <x:c r="A5" s="259" t="str">
        <x:v>기본 정보</x:v>
      </x:c>
      <x:c r="B5" s="259" t="str">
        <x:v>기본 정보</x:v>
      </x:c>
      <x:c r="C5" s="259" t="str">
        <x:v>기본 정보</x:v>
      </x:c>
      <x:c r="D5" s="259" t="str">
        <x:v>기본 정보</x:v>
      </x:c>
      <x:c r="E5" s="259" t="str">
        <x:v>기본 정보</x:v>
      </x:c>
      <x:c r="F5" s="259" t="str">
        <x:v>기본 정보</x:v>
      </x:c>
      <x:c r="G5" s="259" t="str">
        <x:v>기본 정보</x:v>
      </x:c>
      <x:c r="H5" s="259" t="str">
        <x:v>기본 정보</x:v>
      </x:c>
      <x:c r="I5" s="259" t="str">
        <x:v>기본 정보</x:v>
      </x:c>
      <x:c r="J5" s="259" t="str">
        <x:v>기본 정보</x:v>
      </x:c>
      <x:c r="K5" s="259" t="str">
        <x:v>기본 정보</x:v>
      </x:c>
      <x:c r="L5" s="259" t="str">
        <x:v>기본 정보</x:v>
      </x:c>
      <x:c r="M5" s="259" t="str">
        <x:v>기본 정보</x:v>
      </x:c>
      <x:c r="N5" s="259" t="str">
        <x:v>기본 정보</x:v>
      </x:c>
      <x:c r="O5" s="259" t="str">
        <x:v>기본 정보</x:v>
      </x:c>
      <x:c r="P5" s="259" t="str">
        <x:v>기본 정보</x:v>
      </x:c>
      <x:c r="Q5" s="259" t="str">
        <x:v>기본 정보</x:v>
      </x:c>
      <x:c r="R5" s="259" t="str">
        <x:v>기본 정보</x:v>
      </x:c>
      <x:c r="S5" s="259" t="str">
        <x:v>기본 정보</x:v>
      </x:c>
      <x:c r="T5" s="259" t="str">
        <x:v>기본 정보</x:v>
      </x:c>
      <x:c r="U5" s="263" t="str">
        <x:v>공급 요약</x:v>
      </x:c>
      <x:c r="V5" s="263" t="str">
        <x:v>공급 요약</x:v>
      </x:c>
      <x:c r="W5" s="263" t="str">
        <x:v>공급 요약</x:v>
      </x:c>
      <x:c r="X5" s="267" t="str">
        <x:v>7월 일자별 공급량</x:v>
      </x:c>
      <x:c r="Y5" s="267" t="str">
        <x:v>7월 일자별 공급량</x:v>
      </x:c>
      <x:c r="Z5" s="267" t="str">
        <x:v>7월 일자별 공급량</x:v>
      </x:c>
      <x:c r="AA5" s="267" t="str">
        <x:v>7월 일자별 공급량</x:v>
      </x:c>
      <x:c r="AB5" s="267" t="str">
        <x:v>7월 일자별 공급량</x:v>
      </x:c>
      <x:c r="AC5" s="267" t="str">
        <x:v>7월 일자별 공급량</x:v>
      </x:c>
      <x:c r="AD5" s="267" t="str">
        <x:v>7월 일자별 공급량</x:v>
      </x:c>
      <x:c r="AE5" s="267" t="str">
        <x:v>7월 일자별 공급량</x:v>
      </x:c>
      <x:c r="AF5" s="267" t="str">
        <x:v>7월 일자별 공급량</x:v>
      </x:c>
      <x:c r="AG5" s="267" t="str">
        <x:v>7월 일자별 공급량</x:v>
      </x:c>
      <x:c r="AH5" s="267" t="str">
        <x:v>7월 일자별 공급량</x:v>
      </x:c>
      <x:c r="AI5" s="271" t="str">
        <x:v>8월 일자별 공급량</x:v>
      </x:c>
      <x:c r="AJ5" s="271" t="str">
        <x:v>8월 일자별 공급량</x:v>
      </x:c>
      <x:c r="AK5" s="271" t="str">
        <x:v>8월 일자별 공급량</x:v>
      </x:c>
      <x:c r="AL5" s="271" t="str">
        <x:v>8월 일자별 공급량</x:v>
      </x:c>
      <x:c r="AM5" s="271" t="str">
        <x:v>8월 일자별 공급량</x:v>
      </x:c>
      <x:c r="AN5" s="271" t="str">
        <x:v>8월 일자별 공급량</x:v>
      </x:c>
      <x:c r="AO5" s="271" t="str">
        <x:v>8월 일자별 공급량</x:v>
      </x:c>
      <x:c r="AP5" s="271" t="str">
        <x:v>8월 일자별 공급량</x:v>
      </x:c>
      <x:c r="AQ5" s="271" t="str">
        <x:v>8월 일자별 공급량</x:v>
      </x:c>
      <x:c r="AR5" s="271" t="str">
        <x:v>8월 일자별 공급량</x:v>
      </x:c>
      <x:c r="AS5" s="271" t="str">
        <x:v>8월 일자별 공급량</x:v>
      </x:c>
      <x:c r="AT5" s="271" t="str">
        <x:v>8월 일자별 공급량</x:v>
      </x:c>
      <x:c r="AU5" s="271" t="str">
        <x:v>8월 일자별 공급량</x:v>
      </x:c>
      <x:c r="AV5" s="271" t="str">
        <x:v>8월 일자별 공급량</x:v>
      </x:c>
      <x:c r="AW5" s="271" t="str">
        <x:v>8월 일자별 공급량</x:v>
      </x:c>
      <x:c r="AX5" s="271" t="str">
        <x:v>8월 일자별 공급량</x:v>
      </x:c>
      <x:c r="AY5" s="271" t="str">
        <x:v>8월 일자별 공급량</x:v>
      </x:c>
      <x:c r="AZ5" s="271" t="str">
        <x:v>8월 일자별 공급량</x:v>
      </x:c>
      <x:c r="BA5" s="271" t="str">
        <x:v>8월 일자별 공급량</x:v>
      </x:c>
      <x:c r="BB5" s="271" t="str">
        <x:v>8월 일자별 공급량</x:v>
      </x:c>
    </x:row>
    <x:row r="6" ht="36" customHeight="1">
      <x:c r="A6" s="276" t="str">
        <x:v>순번</x:v>
      </x:c>
      <x:c r="B6" s="276" t="str">
        <x:v>구분</x:v>
      </x:c>
      <x:c r="C6" s="276" t="str">
        <x:v>기관명</x:v>
      </x:c>
      <x:c r="D6" s="276" t="str">
        <x:v>주소</x:v>
      </x:c>
      <x:c r="E6" s="276" t="str">
        <x:v>돌봄도시락 담당자</x:v>
      </x:c>
      <x:c r="F6" s="276" t="str">
        <x:v>도시락 수령책임자</x:v>
      </x:c>
      <x:c r="G6" s="276" t="str">
        <x:v>신청인원</x:v>
      </x:c>
      <x:c r="H6" s="276" t="str">
        <x:v>1반</x:v>
      </x:c>
      <x:c r="I6" s="276" t="str">
        <x:v>2반</x:v>
      </x:c>
      <x:c r="J6" s="276" t="str">
        <x:v>3반</x:v>
      </x:c>
      <x:c r="K6" s="276" t="str">
        <x:v>4반</x:v>
      </x:c>
      <x:c r="L6" s="276" t="str">
        <x:v>연계형</x:v>
      </x:c>
      <x:c r="M6" s="276" t="str">
        <x:v>중식 시작시간</x:v>
      </x:c>
      <x:c r="N6" s="276" t="str">
        <x:v>공급기간</x:v>
      </x:c>
      <x:c r="O6" s="276" t="str">
        <x:v>방학기간</x:v>
      </x:c>
      <x:c r="P6" s="276" t="str">
        <x:v>실제 공급일수</x:v>
      </x:c>
      <x:c r="Q6" s="276" t="str">
        <x:v>공급방법</x:v>
      </x:c>
      <x:c r="R6" s="276" t="str">
        <x:v>보존식 위치</x:v>
      </x:c>
      <x:c r="S6" s="276" t="str">
        <x:v>보존식 담당자</x:v>
      </x:c>
      <x:c r="T6" s="276" t="str">
        <x:v>비고</x:v>
      </x:c>
      <x:c r="U6" s="277" t="str">
        <x:v>7월 공급</x:v>
      </x:c>
      <x:c r="V6" s="277" t="str">
        <x:v>8월 공급</x:v>
      </x:c>
      <x:c r="W6" s="277" t="str">
        <x:v>총 공급</x:v>
      </x:c>
      <x:c r="X6" s="278" t="str">
        <x:v>7.16.(목)</x:v>
      </x:c>
      <x:c r="Y6" s="278" t="str">
        <x:v>7.20.(월)</x:v>
      </x:c>
      <x:c r="Z6" s="278" t="str">
        <x:v>7.21.(화)</x:v>
      </x:c>
      <x:c r="AA6" s="278" t="str">
        <x:v>7.22.(수)</x:v>
      </x:c>
      <x:c r="AB6" s="278" t="str">
        <x:v>7.23.(목)</x:v>
      </x:c>
      <x:c r="AC6" s="278" t="str">
        <x:v>7.24.(금)</x:v>
      </x:c>
      <x:c r="AD6" s="278" t="str">
        <x:v>7.27.(월)</x:v>
      </x:c>
      <x:c r="AE6" s="278" t="str">
        <x:v>7.28.(화)</x:v>
      </x:c>
      <x:c r="AF6" s="278" t="str">
        <x:v>7.29.(수)</x:v>
      </x:c>
      <x:c r="AG6" s="278" t="str">
        <x:v>7.30.(목)</x:v>
      </x:c>
      <x:c r="AH6" s="278" t="str">
        <x:v>7.31.(금)</x:v>
      </x:c>
      <x:c r="AI6" s="279" t="str">
        <x:v>8.3(월)</x:v>
      </x:c>
      <x:c r="AJ6" s="279" t="str">
        <x:v>8.4.(화)</x:v>
      </x:c>
      <x:c r="AK6" s="279" t="str">
        <x:v>8.5.(수)</x:v>
      </x:c>
      <x:c r="AL6" s="279" t="str">
        <x:v>8.6.(목)</x:v>
      </x:c>
      <x:c r="AM6" s="279" t="str">
        <x:v>8.7.(금)</x:v>
      </x:c>
      <x:c r="AN6" s="279" t="str">
        <x:v>8.10.(월)</x:v>
      </x:c>
      <x:c r="AO6" s="279" t="str">
        <x:v>8.11.(화)</x:v>
      </x:c>
      <x:c r="AP6" s="279" t="str">
        <x:v>8.12.(수)</x:v>
      </x:c>
      <x:c r="AQ6" s="279" t="str">
        <x:v>8.13.(목)</x:v>
      </x:c>
      <x:c r="AR6" s="279" t="str">
        <x:v>8.14.(금)</x:v>
      </x:c>
      <x:c r="AS6" s="279" t="str">
        <x:v>8.18.(화)</x:v>
      </x:c>
      <x:c r="AT6" s="279" t="str">
        <x:v>8.19.(수)</x:v>
      </x:c>
      <x:c r="AU6" s="279" t="str">
        <x:v>8.20.(목)</x:v>
      </x:c>
      <x:c r="AV6" s="279" t="str">
        <x:v>8.21.(금)</x:v>
      </x:c>
      <x:c r="AW6" s="279" t="str">
        <x:v>8.24.(월)</x:v>
      </x:c>
      <x:c r="AX6" s="279" t="str">
        <x:v>8.25.(화)</x:v>
      </x:c>
      <x:c r="AY6" s="279" t="str">
        <x:v>8.26.(수)</x:v>
      </x:c>
      <x:c r="AZ6" s="279" t="str">
        <x:v>8.27.(목)</x:v>
      </x:c>
      <x:c r="BA6" s="279" t="str">
        <x:v>8.28.(금)</x:v>
      </x:c>
      <x:c r="BB6" s="279" t="str">
        <x:v>8.31.(월)</x:v>
      </x:c>
    </x:row>
    <x:row r="7" ht="44" customHeight="1">
      <x:c r="A7" s="282" t="n">
        <x:f>IF('초등학교+병설유치원(7월)'!A9="","",'초등학교+병설유치원(7월)'!A9)</x:f>
        <x:v>1</x:v>
      </x:c>
      <x:c r="B7" s="282" t="str">
        <x:v>초등학교</x:v>
      </x:c>
      <x:c r="C7" s="282" t="str">
        <x:f>IF('초등학교+병설유치원(7월)'!B9="","",'초등학교+병설유치원(7월)'!B9)</x:f>
        <x:v>영만초</x:v>
      </x:c>
      <x:c r="D7" s="281" t="str">
        <x:f>IF('초등학교+병설유치원(7월)'!C9="","",'초등학교+병설유치원(7월)'!C9)</x:f>
        <x:v>익산시 오산면 선화로4길 42-9</x:v>
      </x:c>
      <x:c r="E7" s="281" t="str">
        <x:f>IF('초등학교+병설유치원(7월)'!D9="","",'초등학교+병설유치원(7월)'!D9)</x:f>
        <x:v>이영숙
(063-850-4834
010-4125-5427)</x:v>
      </x:c>
      <x:c r="F7" s="281" t="str">
        <x:f>IF('초등학교+병설유치원(7월)'!E9="","",'초등학교+병설유치원(7월)'!E9)</x:f>
        <x:v>장해진
(063-850-4804
010-7177-0321)</x:v>
      </x:c>
      <x:c r="G7" s="284" t="n">
        <x:f>IF('초등학교+병설유치원(7월)'!F9="","",'초등학교+병설유치원(7월)'!F9)</x:f>
        <x:v>45</x:v>
      </x:c>
      <x:c r="H7" s="284" t="n">
        <x:f>IF('초등학교+병설유치원(7월)'!G9="","",'초등학교+병설유치원(7월)'!G9)</x:f>
        <x:v>16</x:v>
      </x:c>
      <x:c r="I7" s="284" t="n">
        <x:f>IF('초등학교+병설유치원(7월)'!H9="","",'초등학교+병설유치원(7월)'!H9)</x:f>
        <x:v>15</x:v>
      </x:c>
      <x:c r="J7" s="284" t="n">
        <x:f>IF('초등학교+병설유치원(7월)'!I9="","",'초등학교+병설유치원(7월)'!I9)</x:f>
        <x:v>14</x:v>
      </x:c>
      <x:c r="K7" s="284" t="str">
        <x:f>IF('초등학교+병설유치원(7월)'!J9="","",'초등학교+병설유치원(7월)'!J9)</x:f>
      </x:c>
      <x:c r="L7" s="284" t="str">
        <x:f>IF('초등학교+병설유치원(7월)'!K9="","",'초등학교+병설유치원(7월)'!K9)</x:f>
      </x:c>
      <x:c r="M7" s="285" t="n">
        <x:f>IF('초등학교+병설유치원(7월)'!L9="","",'초등학교+병설유치원(7월)'!L9)</x:f>
        <x:v>0.4861111111111111</x:v>
      </x:c>
      <x:c r="N7" s="281" t="str">
        <x:f>IF('초등학교+병설유치원(7월)'!M9="","",'초등학교+병설유치원(7월)'!M9)</x:f>
        <x:v>7.29.~8.14.
(13일)</x:v>
      </x:c>
      <x:c r="O7" s="281" t="str">
        <x:f>IF('초등학교+병설유치원(7월)'!N9="","",'초등학교+병설유치원(7월)'!N9)</x:f>
      </x:c>
      <x:c r="P7" s="282" t="str">
        <x:f>IF('초등학교+병설유치원(7월)'!O9="","",'초등학교+병설유치원(7월)'!O9)</x:f>
        <x:v>13일</x:v>
      </x:c>
      <x:c r="Q7" s="282" t="str">
        <x:f>IF('초등학교+병설유치원(7월)'!P9="","",'초등학교+병설유치원(7월)'!P9)</x:f>
        <x:v>배식</x:v>
      </x:c>
      <x:c r="R7" s="281" t="str">
        <x:f>IF('초등학교+병설유치원(7월)'!CF9="","",'초등학교+병설유치원(7월)'!CF9)</x:f>
        <x:v>돌봄3반</x:v>
      </x:c>
      <x:c r="S7" s="281" t="str">
        <x:f>IF('초등학교+병설유치원(7월)'!CG9="","",'초등학교+병설유치원(7월)'!CG9)</x:f>
        <x:v>이영숙</x:v>
      </x:c>
      <x:c r="T7" s="281" t="str">
        <x:f>IF('초등학교+병설유치원(7월)'!CH9="","",'초등학교+병설유치원(7월)'!CH9)</x:f>
      </x:c>
      <x:c r="U7" s="288" t="n">
        <x:f>SUM(X7:AH7)</x:f>
        <x:v>135</x:v>
      </x:c>
      <x:c r="V7" s="288" t="n">
        <x:f>SUM(AI7:BB7)</x:f>
        <x:v>450</x:v>
      </x:c>
      <x:c r="W7" s="288" t="n">
        <x:f>U7+V7</x:f>
        <x:v>585</x:v>
      </x:c>
      <x:c r="X7" s="286" t="n">
        <x:f>SUM('초등학교+병설유치원(7월)'!Q9:'초등학교+병설유치원(7월)'!U9)</x:f>
        <x:v>0</x:v>
      </x:c>
      <x:c r="Y7" s="286" t="n">
        <x:f>SUM('초등학교+병설유치원(7월)'!W9:'초등학교+병설유치원(7월)'!AA9)</x:f>
        <x:v>0</x:v>
      </x:c>
      <x:c r="Z7" s="286" t="n">
        <x:f>SUM('초등학교+병설유치원(7월)'!AC9:'초등학교+병설유치원(7월)'!AG9)</x:f>
        <x:v>0</x:v>
      </x:c>
      <x:c r="AA7" s="286" t="n">
        <x:f>SUM('초등학교+병설유치원(7월)'!AI9:'초등학교+병설유치원(7월)'!AM9)</x:f>
        <x:v>0</x:v>
      </x:c>
      <x:c r="AB7" s="286" t="n">
        <x:f>SUM('초등학교+병설유치원(7월)'!AO9:'초등학교+병설유치원(7월)'!AS9)</x:f>
        <x:v>0</x:v>
      </x:c>
      <x:c r="AC7" s="286" t="n">
        <x:f>SUM('초등학교+병설유치원(7월)'!AU9:'초등학교+병설유치원(7월)'!AY9)</x:f>
        <x:v>0</x:v>
      </x:c>
      <x:c r="AD7" s="286" t="n">
        <x:f>SUM('초등학교+병설유치원(7월)'!BA9:'초등학교+병설유치원(7월)'!BE9)</x:f>
        <x:v>0</x:v>
      </x:c>
      <x:c r="AE7" s="286" t="n">
        <x:f>SUM('초등학교+병설유치원(7월)'!BG9:'초등학교+병설유치원(7월)'!BK9)</x:f>
        <x:v>0</x:v>
      </x:c>
      <x:c r="AF7" s="286" t="n">
        <x:f>SUM('초등학교+병설유치원(7월)'!BM9:'초등학교+병설유치원(7월)'!BQ9)</x:f>
        <x:v>45</x:v>
      </x:c>
      <x:c r="AG7" s="286" t="n">
        <x:f>SUM('초등학교+병설유치원(7월)'!BS9:'초등학교+병설유치원(7월)'!BW9)</x:f>
        <x:v>45</x:v>
      </x:c>
      <x:c r="AH7" s="286" t="n">
        <x:f>SUM('초등학교+병설유치원(7월)'!BY9:'초등학교+병설유치원(7월)'!CC9)</x:f>
        <x:v>45</x:v>
      </x:c>
      <x:c r="AI7" s="286" t="n">
        <x:f>SUM('초등학교+병설유치원(8월)'!Q9:'초등학교+병설유치원(8월)'!U9)</x:f>
        <x:v>45</x:v>
      </x:c>
      <x:c r="AJ7" s="286" t="n">
        <x:f>SUM('초등학교+병설유치원(8월)'!W9:'초등학교+병설유치원(8월)'!AA9)</x:f>
        <x:v>45</x:v>
      </x:c>
      <x:c r="AK7" s="286" t="n">
        <x:f>SUM('초등학교+병설유치원(8월)'!AC9:'초등학교+병설유치원(8월)'!AG9)</x:f>
        <x:v>45</x:v>
      </x:c>
      <x:c r="AL7" s="286" t="n">
        <x:f>SUM('초등학교+병설유치원(8월)'!AI9:'초등학교+병설유치원(8월)'!AM9)</x:f>
        <x:v>45</x:v>
      </x:c>
      <x:c r="AM7" s="286" t="n">
        <x:f>SUM('초등학교+병설유치원(8월)'!AO9:'초등학교+병설유치원(8월)'!AS9)</x:f>
        <x:v>45</x:v>
      </x:c>
      <x:c r="AN7" s="286" t="n">
        <x:f>SUM('초등학교+병설유치원(8월)'!AU9:'초등학교+병설유치원(8월)'!AY9)</x:f>
        <x:v>45</x:v>
      </x:c>
      <x:c r="AO7" s="286" t="n">
        <x:f>SUM('초등학교+병설유치원(8월)'!BA9:'초등학교+병설유치원(8월)'!BE9)</x:f>
        <x:v>45</x:v>
      </x:c>
      <x:c r="AP7" s="286" t="n">
        <x:f>SUM('초등학교+병설유치원(8월)'!BG9:'초등학교+병설유치원(8월)'!BK9)</x:f>
        <x:v>45</x:v>
      </x:c>
      <x:c r="AQ7" s="286" t="n">
        <x:f>SUM('초등학교+병설유치원(8월)'!BM9:'초등학교+병설유치원(8월)'!BQ9)</x:f>
        <x:v>45</x:v>
      </x:c>
      <x:c r="AR7" s="286" t="n">
        <x:f>SUM('초등학교+병설유치원(8월)'!BS9:'초등학교+병설유치원(8월)'!BW9)</x:f>
        <x:v>45</x:v>
      </x:c>
      <x:c r="AS7" s="286" t="n">
        <x:f>SUM('초등학교+병설유치원(8월)'!BY9:'초등학교+병설유치원(8월)'!CC9)</x:f>
        <x:v>0</x:v>
      </x:c>
      <x:c r="AT7" s="286" t="n">
        <x:f>SUM('초등학교+병설유치원(8월)'!CE9:'초등학교+병설유치원(8월)'!CI9)</x:f>
        <x:v>0</x:v>
      </x:c>
      <x:c r="AU7" s="286" t="n">
        <x:f>SUM('초등학교+병설유치원(8월)'!CK9:'초등학교+병설유치원(8월)'!CO9)</x:f>
        <x:v>0</x:v>
      </x:c>
      <x:c r="AV7" s="286" t="n">
        <x:f>SUM('초등학교+병설유치원(8월)'!CQ9:'초등학교+병설유치원(8월)'!CU9)</x:f>
        <x:v>0</x:v>
      </x:c>
      <x:c r="AW7" s="286" t="n">
        <x:f>SUM('초등학교+병설유치원(8월)'!CW9:'초등학교+병설유치원(8월)'!DA9)</x:f>
        <x:v>0</x:v>
      </x:c>
      <x:c r="AX7" s="286" t="n">
        <x:f>SUM('초등학교+병설유치원(8월)'!DC9:'초등학교+병설유치원(8월)'!DG9)</x:f>
        <x:v>0</x:v>
      </x:c>
      <x:c r="AY7" s="286" t="n">
        <x:f>SUM('초등학교+병설유치원(8월)'!DI9:'초등학교+병설유치원(8월)'!DM9)</x:f>
        <x:v>0</x:v>
      </x:c>
      <x:c r="AZ7" s="286" t="n">
        <x:f>SUM('초등학교+병설유치원(8월)'!DO9:'초등학교+병설유치원(8월)'!DS9)</x:f>
        <x:v>0</x:v>
      </x:c>
      <x:c r="BA7" s="286" t="n">
        <x:f>SUM('초등학교+병설유치원(8월)'!DU9:'초등학교+병설유치원(8월)'!DY9)</x:f>
        <x:v>0</x:v>
      </x:c>
      <x:c r="BB7" s="286" t="n">
        <x:f>SUM('초등학교+병설유치원(8월)'!EA9:'초등학교+병설유치원(8월)'!EE9)</x:f>
        <x:v>0</x:v>
      </x:c>
    </x:row>
    <x:row r="8" ht="44" customHeight="1">
      <x:c r="A8" s="282" t="n">
        <x:f>IF('초등학교+병설유치원(7월)'!A10="","",'초등학교+병설유치원(7월)'!A10)</x:f>
        <x:v>2</x:v>
      </x:c>
      <x:c r="B8" s="282" t="str">
        <x:v>초등학교</x:v>
      </x:c>
      <x:c r="C8" s="282" t="str">
        <x:f>IF('초등학교+병설유치원(7월)'!B10="","",'초등학교+병설유치원(7월)'!B10)</x:f>
        <x:v>이리계문초</x:v>
      </x:c>
      <x:c r="D8" s="281" t="str">
        <x:f>IF('초등학교+병설유치원(7월)'!C10="","",'초등학교+병설유치원(7월)'!C10)</x:f>
        <x:v>익산시 계문길 79-8</x:v>
      </x:c>
      <x:c r="E8" s="281" t="str">
        <x:f>IF('초등학교+병설유치원(7월)'!D10="","",'초등학교+병설유치원(7월)'!D10)</x:f>
        <x:v>유경란
(070-4944-1994
010-5586-3580)</x:v>
      </x:c>
      <x:c r="F8" s="281" t="str">
        <x:f>IF('초등학교+병설유치원(7월)'!E10="","",'초등학교+병설유치원(7월)'!E10)</x:f>
        <x:v>유경란
(070-4944-1994
010-5586-3580)</x:v>
      </x:c>
      <x:c r="G8" s="284" t="n">
        <x:f>IF('초등학교+병설유치원(7월)'!F10="","",'초등학교+병설유치원(7월)'!F10)</x:f>
        <x:v>12</x:v>
      </x:c>
      <x:c r="H8" s="284" t="n">
        <x:f>IF('초등학교+병설유치원(7월)'!G10="","",'초등학교+병설유치원(7월)'!G10)</x:f>
        <x:v>12</x:v>
      </x:c>
      <x:c r="I8" s="284" t="str">
        <x:f>IF('초등학교+병설유치원(7월)'!H10="","",'초등학교+병설유치원(7월)'!H10)</x:f>
      </x:c>
      <x:c r="J8" s="284" t="str">
        <x:f>IF('초등학교+병설유치원(7월)'!I10="","",'초등학교+병설유치원(7월)'!I10)</x:f>
      </x:c>
      <x:c r="K8" s="284" t="str">
        <x:f>IF('초등학교+병설유치원(7월)'!J10="","",'초등학교+병설유치원(7월)'!J10)</x:f>
      </x:c>
      <x:c r="L8" s="284" t="str">
        <x:f>IF('초등학교+병설유치원(7월)'!K10="","",'초등학교+병설유치원(7월)'!K10)</x:f>
      </x:c>
      <x:c r="M8" s="285" t="n">
        <x:f>IF('초등학교+병설유치원(7월)'!L10="","",'초등학교+병설유치원(7월)'!L10)</x:f>
        <x:v>0.5069444444444444</x:v>
      </x:c>
      <x:c r="N8" s="281" t="str">
        <x:f>IF('초등학교+병설유치원(7월)'!M10="","",'초등학교+병설유치원(7월)'!M10)</x:f>
        <x:v>7.27.~8.7.
(10일)</x:v>
      </x:c>
      <x:c r="O8" s="281" t="str">
        <x:f>IF('초등학교+병설유치원(7월)'!N10="","",'초등학교+병설유치원(7월)'!N10)</x:f>
      </x:c>
      <x:c r="P8" s="282" t="str">
        <x:f>IF('초등학교+병설유치원(7월)'!O10="","",'초등학교+병설유치원(7월)'!O10)</x:f>
        <x:v>10일</x:v>
      </x:c>
      <x:c r="Q8" s="282" t="str">
        <x:f>IF('초등학교+병설유치원(7월)'!P10="","",'초등학교+병설유치원(7월)'!P10)</x:f>
        <x:v>배식</x:v>
      </x:c>
      <x:c r="R8" s="281" t="str">
        <x:f>IF('초등학교+병설유치원(7월)'!CF10="","",'초등학교+병설유치원(7월)'!CF10)</x:f>
        <x:v>돌봄1반</x:v>
      </x:c>
      <x:c r="S8" s="281" t="str">
        <x:f>IF('초등학교+병설유치원(7월)'!CG10="","",'초등학교+병설유치원(7월)'!CG10)</x:f>
        <x:v>유경란</x:v>
      </x:c>
      <x:c r="T8" s="281" t="str">
        <x:f>IF('초등학교+병설유치원(7월)'!CH10="","",'초등학교+병설유치원(7월)'!CH10)</x:f>
      </x:c>
      <x:c r="U8" s="288" t="n">
        <x:f>SUM(X8:AH8)</x:f>
        <x:v>60</x:v>
      </x:c>
      <x:c r="V8" s="288" t="n">
        <x:f>SUM(AI8:BB8)</x:f>
        <x:v>60</x:v>
      </x:c>
      <x:c r="W8" s="288" t="n">
        <x:f>U8+V8</x:f>
        <x:v>120</x:v>
      </x:c>
      <x:c r="X8" s="286" t="n">
        <x:f>SUM('초등학교+병설유치원(7월)'!Q10:'초등학교+병설유치원(7월)'!U10)</x:f>
        <x:v>0</x:v>
      </x:c>
      <x:c r="Y8" s="286" t="n">
        <x:f>SUM('초등학교+병설유치원(7월)'!W10:'초등학교+병설유치원(7월)'!AA10)</x:f>
        <x:v>0</x:v>
      </x:c>
      <x:c r="Z8" s="286" t="n">
        <x:f>SUM('초등학교+병설유치원(7월)'!AC10:'초등학교+병설유치원(7월)'!AG10)</x:f>
        <x:v>0</x:v>
      </x:c>
      <x:c r="AA8" s="286" t="n">
        <x:f>SUM('초등학교+병설유치원(7월)'!AI10:'초등학교+병설유치원(7월)'!AM10)</x:f>
        <x:v>0</x:v>
      </x:c>
      <x:c r="AB8" s="286" t="n">
        <x:f>SUM('초등학교+병설유치원(7월)'!AO10:'초등학교+병설유치원(7월)'!AS10)</x:f>
        <x:v>0</x:v>
      </x:c>
      <x:c r="AC8" s="286" t="n">
        <x:f>SUM('초등학교+병설유치원(7월)'!AU10:'초등학교+병설유치원(7월)'!AY10)</x:f>
        <x:v>0</x:v>
      </x:c>
      <x:c r="AD8" s="286" t="n">
        <x:f>SUM('초등학교+병설유치원(7월)'!BA10:'초등학교+병설유치원(7월)'!BE10)</x:f>
        <x:v>12</x:v>
      </x:c>
      <x:c r="AE8" s="286" t="n">
        <x:f>SUM('초등학교+병설유치원(7월)'!BG10:'초등학교+병설유치원(7월)'!BK10)</x:f>
        <x:v>12</x:v>
      </x:c>
      <x:c r="AF8" s="286" t="n">
        <x:f>SUM('초등학교+병설유치원(7월)'!BM10:'초등학교+병설유치원(7월)'!BQ10)</x:f>
        <x:v>12</x:v>
      </x:c>
      <x:c r="AG8" s="286" t="n">
        <x:f>SUM('초등학교+병설유치원(7월)'!BS10:'초등학교+병설유치원(7월)'!BW10)</x:f>
        <x:v>12</x:v>
      </x:c>
      <x:c r="AH8" s="286" t="n">
        <x:f>SUM('초등학교+병설유치원(7월)'!BY10:'초등학교+병설유치원(7월)'!CC10)</x:f>
        <x:v>12</x:v>
      </x:c>
      <x:c r="AI8" s="286" t="n">
        <x:f>SUM('초등학교+병설유치원(8월)'!Q10:'초등학교+병설유치원(8월)'!U10)</x:f>
        <x:v>12</x:v>
      </x:c>
      <x:c r="AJ8" s="286" t="n">
        <x:f>SUM('초등학교+병설유치원(8월)'!W10:'초등학교+병설유치원(8월)'!AA10)</x:f>
        <x:v>12</x:v>
      </x:c>
      <x:c r="AK8" s="286" t="n">
        <x:f>SUM('초등학교+병설유치원(8월)'!AC10:'초등학교+병설유치원(8월)'!AG10)</x:f>
        <x:v>12</x:v>
      </x:c>
      <x:c r="AL8" s="286" t="n">
        <x:f>SUM('초등학교+병설유치원(8월)'!AI10:'초등학교+병설유치원(8월)'!AM10)</x:f>
        <x:v>12</x:v>
      </x:c>
      <x:c r="AM8" s="286" t="n">
        <x:f>SUM('초등학교+병설유치원(8월)'!AO10:'초등학교+병설유치원(8월)'!AS10)</x:f>
        <x:v>12</x:v>
      </x:c>
      <x:c r="AN8" s="286" t="n">
        <x:f>SUM('초등학교+병설유치원(8월)'!AU10:'초등학교+병설유치원(8월)'!AY10)</x:f>
        <x:v>0</x:v>
      </x:c>
      <x:c r="AO8" s="286" t="n">
        <x:f>SUM('초등학교+병설유치원(8월)'!BA10:'초등학교+병설유치원(8월)'!BE10)</x:f>
        <x:v>0</x:v>
      </x:c>
      <x:c r="AP8" s="286" t="n">
        <x:f>SUM('초등학교+병설유치원(8월)'!BG10:'초등학교+병설유치원(8월)'!BK10)</x:f>
        <x:v>0</x:v>
      </x:c>
      <x:c r="AQ8" s="286" t="n">
        <x:f>SUM('초등학교+병설유치원(8월)'!BM10:'초등학교+병설유치원(8월)'!BQ10)</x:f>
        <x:v>0</x:v>
      </x:c>
      <x:c r="AR8" s="286" t="n">
        <x:f>SUM('초등학교+병설유치원(8월)'!BS10:'초등학교+병설유치원(8월)'!BW10)</x:f>
        <x:v>0</x:v>
      </x:c>
      <x:c r="AS8" s="286" t="n">
        <x:f>SUM('초등학교+병설유치원(8월)'!BY10:'초등학교+병설유치원(8월)'!CC10)</x:f>
        <x:v>0</x:v>
      </x:c>
      <x:c r="AT8" s="286" t="n">
        <x:f>SUM('초등학교+병설유치원(8월)'!CE10:'초등학교+병설유치원(8월)'!CI10)</x:f>
        <x:v>0</x:v>
      </x:c>
      <x:c r="AU8" s="286" t="n">
        <x:f>SUM('초등학교+병설유치원(8월)'!CK10:'초등학교+병설유치원(8월)'!CO10)</x:f>
        <x:v>0</x:v>
      </x:c>
      <x:c r="AV8" s="286" t="n">
        <x:f>SUM('초등학교+병설유치원(8월)'!CQ10:'초등학교+병설유치원(8월)'!CU10)</x:f>
        <x:v>0</x:v>
      </x:c>
      <x:c r="AW8" s="286" t="n">
        <x:f>SUM('초등학교+병설유치원(8월)'!CW10:'초등학교+병설유치원(8월)'!DA10)</x:f>
        <x:v>0</x:v>
      </x:c>
      <x:c r="AX8" s="286" t="n">
        <x:f>SUM('초등학교+병설유치원(8월)'!DC10:'초등학교+병설유치원(8월)'!DG10)</x:f>
        <x:v>0</x:v>
      </x:c>
      <x:c r="AY8" s="286" t="n">
        <x:f>SUM('초등학교+병설유치원(8월)'!DI10:'초등학교+병설유치원(8월)'!DM10)</x:f>
        <x:v>0</x:v>
      </x:c>
      <x:c r="AZ8" s="286" t="n">
        <x:f>SUM('초등학교+병설유치원(8월)'!DO10:'초등학교+병설유치원(8월)'!DS10)</x:f>
        <x:v>0</x:v>
      </x:c>
      <x:c r="BA8" s="286" t="n">
        <x:f>SUM('초등학교+병설유치원(8월)'!DU10:'초등학교+병설유치원(8월)'!DY10)</x:f>
        <x:v>0</x:v>
      </x:c>
      <x:c r="BB8" s="286" t="n">
        <x:f>SUM('초등학교+병설유치원(8월)'!EA10:'초등학교+병설유치원(8월)'!EE10)</x:f>
        <x:v>0</x:v>
      </x:c>
    </x:row>
    <x:row r="9" ht="44" customHeight="1">
      <x:c r="A9" s="282" t="n">
        <x:f>IF('초등학교+병설유치원(7월)'!A11="","",'초등학교+병설유치원(7월)'!A11)</x:f>
        <x:v>3</x:v>
      </x:c>
      <x:c r="B9" s="282" t="str">
        <x:v>초등학교</x:v>
      </x:c>
      <x:c r="C9" s="282" t="str">
        <x:f>IF('초등학교+병설유치원(7월)'!B11="","",'초등학교+병설유치원(7월)'!B11)</x:f>
        <x:v>이리고현초</x:v>
      </x:c>
      <x:c r="D9" s="281" t="str">
        <x:f>IF('초등학교+병설유치원(7월)'!C11="","",'초등학교+병설유치원(7월)'!C11)</x:f>
        <x:v>익산시 선화로 23길 44</x:v>
      </x:c>
      <x:c r="E9" s="281" t="str">
        <x:f>IF('초등학교+병설유치원(7월)'!D11="","",'초등학교+병설유치원(7월)'!D11)</x:f>
        <x:v>김성심
(070-7601-4286
010-4581-7052)</x:v>
      </x:c>
      <x:c r="F9" s="281" t="str">
        <x:f>IF('초등학교+병설유치원(7월)'!E11="","",'초등학교+병설유치원(7월)'!E11)</x:f>
        <x:v>김성심
(070-7601-4286
010-4581-7052)</x:v>
      </x:c>
      <x:c r="G9" s="284" t="n">
        <x:f>IF('초등학교+병설유치원(7월)'!F11="","",'초등학교+병설유치원(7월)'!F11)</x:f>
        <x:v>27</x:v>
      </x:c>
      <x:c r="H9" s="284" t="n">
        <x:f>IF('초등학교+병설유치원(7월)'!G11="","",'초등학교+병설유치원(7월)'!G11)</x:f>
        <x:v>14</x:v>
      </x:c>
      <x:c r="I9" s="284" t="n">
        <x:f>IF('초등학교+병설유치원(7월)'!H11="","",'초등학교+병설유치원(7월)'!H11)</x:f>
        <x:v>13</x:v>
      </x:c>
      <x:c r="J9" s="284" t="str">
        <x:f>IF('초등학교+병설유치원(7월)'!I11="","",'초등학교+병설유치원(7월)'!I11)</x:f>
      </x:c>
      <x:c r="K9" s="284" t="str">
        <x:f>IF('초등학교+병설유치원(7월)'!J11="","",'초등학교+병설유치원(7월)'!J11)</x:f>
      </x:c>
      <x:c r="L9" s="284" t="str">
        <x:f>IF('초등학교+병설유치원(7월)'!K11="","",'초등학교+병설유치원(7월)'!K11)</x:f>
      </x:c>
      <x:c r="M9" s="285" t="n">
        <x:f>IF('초등학교+병설유치원(7월)'!L11="","",'초등학교+병설유치원(7월)'!L11)</x:f>
        <x:v>0.5069444444444444</x:v>
      </x:c>
      <x:c r="N9" s="281" t="str">
        <x:f>IF('초등학교+병설유치원(7월)'!M11="","",'초등학교+병설유치원(7월)'!M11)</x:f>
        <x:v>7.27.~8.14.
(12일)</x:v>
      </x:c>
      <x:c r="O9" s="281" t="str">
        <x:f>IF('초등학교+병설유치원(7월)'!N11="","",'초등학교+병설유치원(7월)'!N11)</x:f>
        <x:v>7.29.~7.31.</x:v>
      </x:c>
      <x:c r="P9" s="282" t="str">
        <x:f>IF('초등학교+병설유치원(7월)'!O11="","",'초등학교+병설유치원(7월)'!O11)</x:f>
        <x:v>12일</x:v>
      </x:c>
      <x:c r="Q9" s="282" t="str">
        <x:f>IF('초등학교+병설유치원(7월)'!P11="","",'초등학교+병설유치원(7월)'!P11)</x:f>
        <x:v>배식</x:v>
      </x:c>
      <x:c r="R9" s="281" t="str">
        <x:f>IF('초등학교+병설유치원(7월)'!CF11="","",'초등학교+병설유치원(7월)'!CF11)</x:f>
        <x:v>돌봄2반</x:v>
      </x:c>
      <x:c r="S9" s="281" t="str">
        <x:f>IF('초등학교+병설유치원(7월)'!CG11="","",'초등학교+병설유치원(7월)'!CG11)</x:f>
        <x:v>김성심</x:v>
      </x:c>
      <x:c r="T9" s="281" t="str">
        <x:f>IF('초등학교+병설유치원(7월)'!CH11="","",'초등학교+병설유치원(7월)'!CH11)</x:f>
      </x:c>
      <x:c r="U9" s="288" t="n">
        <x:f>SUM(X9:AH9)</x:f>
        <x:v>54</x:v>
      </x:c>
      <x:c r="V9" s="288" t="n">
        <x:f>SUM(AI9:BB9)</x:f>
        <x:v>270</x:v>
      </x:c>
      <x:c r="W9" s="288" t="n">
        <x:f>U9+V9</x:f>
        <x:v>324</x:v>
      </x:c>
      <x:c r="X9" s="286" t="n">
        <x:f>SUM('초등학교+병설유치원(7월)'!Q11:'초등학교+병설유치원(7월)'!U11)</x:f>
        <x:v>0</x:v>
      </x:c>
      <x:c r="Y9" s="286" t="n">
        <x:f>SUM('초등학교+병설유치원(7월)'!W11:'초등학교+병설유치원(7월)'!AA11)</x:f>
        <x:v>0</x:v>
      </x:c>
      <x:c r="Z9" s="286" t="n">
        <x:f>SUM('초등학교+병설유치원(7월)'!AC11:'초등학교+병설유치원(7월)'!AG11)</x:f>
        <x:v>0</x:v>
      </x:c>
      <x:c r="AA9" s="286" t="n">
        <x:f>SUM('초등학교+병설유치원(7월)'!AI11:'초등학교+병설유치원(7월)'!AM11)</x:f>
        <x:v>0</x:v>
      </x:c>
      <x:c r="AB9" s="286" t="n">
        <x:f>SUM('초등학교+병설유치원(7월)'!AO11:'초등학교+병설유치원(7월)'!AS11)</x:f>
        <x:v>0</x:v>
      </x:c>
      <x:c r="AC9" s="286" t="n">
        <x:f>SUM('초등학교+병설유치원(7월)'!AU11:'초등학교+병설유치원(7월)'!AY11)</x:f>
        <x:v>0</x:v>
      </x:c>
      <x:c r="AD9" s="286" t="n">
        <x:f>SUM('초등학교+병설유치원(7월)'!BA11:'초등학교+병설유치원(7월)'!BE11)</x:f>
        <x:v>27</x:v>
      </x:c>
      <x:c r="AE9" s="286" t="n">
        <x:f>SUM('초등학교+병설유치원(7월)'!BG11:'초등학교+병설유치원(7월)'!BK11)</x:f>
        <x:v>27</x:v>
      </x:c>
      <x:c r="AF9" s="286" t="n">
        <x:f>SUM('초등학교+병설유치원(7월)'!BM11:'초등학교+병설유치원(7월)'!BQ11)</x:f>
        <x:v>0</x:v>
      </x:c>
      <x:c r="AG9" s="286" t="n">
        <x:f>SUM('초등학교+병설유치원(7월)'!BS11:'초등학교+병설유치원(7월)'!BW11)</x:f>
        <x:v>0</x:v>
      </x:c>
      <x:c r="AH9" s="286" t="n">
        <x:f>SUM('초등학교+병설유치원(7월)'!BY11:'초등학교+병설유치원(7월)'!CC11)</x:f>
        <x:v>0</x:v>
      </x:c>
      <x:c r="AI9" s="286" t="n">
        <x:f>SUM('초등학교+병설유치원(8월)'!Q11:'초등학교+병설유치원(8월)'!U11)</x:f>
        <x:v>27</x:v>
      </x:c>
      <x:c r="AJ9" s="286" t="n">
        <x:f>SUM('초등학교+병설유치원(8월)'!W11:'초등학교+병설유치원(8월)'!AA11)</x:f>
        <x:v>27</x:v>
      </x:c>
      <x:c r="AK9" s="286" t="n">
        <x:f>SUM('초등학교+병설유치원(8월)'!AC11:'초등학교+병설유치원(8월)'!AG11)</x:f>
        <x:v>27</x:v>
      </x:c>
      <x:c r="AL9" s="286" t="n">
        <x:f>SUM('초등학교+병설유치원(8월)'!AI11:'초등학교+병설유치원(8월)'!AM11)</x:f>
        <x:v>27</x:v>
      </x:c>
      <x:c r="AM9" s="286" t="n">
        <x:f>SUM('초등학교+병설유치원(8월)'!AO11:'초등학교+병설유치원(8월)'!AS11)</x:f>
        <x:v>27</x:v>
      </x:c>
      <x:c r="AN9" s="286" t="n">
        <x:f>SUM('초등학교+병설유치원(8월)'!AU11:'초등학교+병설유치원(8월)'!AY11)</x:f>
        <x:v>27</x:v>
      </x:c>
      <x:c r="AO9" s="286" t="n">
        <x:f>SUM('초등학교+병설유치원(8월)'!BA11:'초등학교+병설유치원(8월)'!BE11)</x:f>
        <x:v>27</x:v>
      </x:c>
      <x:c r="AP9" s="286" t="n">
        <x:f>SUM('초등학교+병설유치원(8월)'!BG11:'초등학교+병설유치원(8월)'!BK11)</x:f>
        <x:v>27</x:v>
      </x:c>
      <x:c r="AQ9" s="286" t="n">
        <x:f>SUM('초등학교+병설유치원(8월)'!BM11:'초등학교+병설유치원(8월)'!BQ11)</x:f>
        <x:v>27</x:v>
      </x:c>
      <x:c r="AR9" s="286" t="n">
        <x:f>SUM('초등학교+병설유치원(8월)'!BS11:'초등학교+병설유치원(8월)'!BW11)</x:f>
        <x:v>27</x:v>
      </x:c>
      <x:c r="AS9" s="286" t="n">
        <x:f>SUM('초등학교+병설유치원(8월)'!BY11:'초등학교+병설유치원(8월)'!CC11)</x:f>
        <x:v>0</x:v>
      </x:c>
      <x:c r="AT9" s="286" t="n">
        <x:f>SUM('초등학교+병설유치원(8월)'!CE11:'초등학교+병설유치원(8월)'!CI11)</x:f>
        <x:v>0</x:v>
      </x:c>
      <x:c r="AU9" s="286" t="n">
        <x:f>SUM('초등학교+병설유치원(8월)'!CK11:'초등학교+병설유치원(8월)'!CO11)</x:f>
        <x:v>0</x:v>
      </x:c>
      <x:c r="AV9" s="286" t="n">
        <x:f>SUM('초등학교+병설유치원(8월)'!CQ11:'초등학교+병설유치원(8월)'!CU11)</x:f>
        <x:v>0</x:v>
      </x:c>
      <x:c r="AW9" s="286" t="n">
        <x:f>SUM('초등학교+병설유치원(8월)'!CW11:'초등학교+병설유치원(8월)'!DA11)</x:f>
        <x:v>0</x:v>
      </x:c>
      <x:c r="AX9" s="286" t="n">
        <x:f>SUM('초등학교+병설유치원(8월)'!DC11:'초등학교+병설유치원(8월)'!DG11)</x:f>
        <x:v>0</x:v>
      </x:c>
      <x:c r="AY9" s="286" t="n">
        <x:f>SUM('초등학교+병설유치원(8월)'!DI11:'초등학교+병설유치원(8월)'!DM11)</x:f>
        <x:v>0</x:v>
      </x:c>
      <x:c r="AZ9" s="286" t="n">
        <x:f>SUM('초등학교+병설유치원(8월)'!DO11:'초등학교+병설유치원(8월)'!DS11)</x:f>
        <x:v>0</x:v>
      </x:c>
      <x:c r="BA9" s="286" t="n">
        <x:f>SUM('초등학교+병설유치원(8월)'!DU11:'초등학교+병설유치원(8월)'!DY11)</x:f>
        <x:v>0</x:v>
      </x:c>
      <x:c r="BB9" s="286" t="n">
        <x:f>SUM('초등학교+병설유치원(8월)'!EA11:'초등학교+병설유치원(8월)'!EE11)</x:f>
        <x:v>0</x:v>
      </x:c>
    </x:row>
    <x:row r="10" ht="44" customHeight="1">
      <x:c r="A10" s="282" t="n">
        <x:f>IF('초등학교+병설유치원(7월)'!A12="","",'초등학교+병설유치원(7월)'!A12)</x:f>
        <x:v>4</x:v>
      </x:c>
      <x:c r="B10" s="282" t="str">
        <x:v>초등학교</x:v>
      </x:c>
      <x:c r="C10" s="282" t="str">
        <x:f>IF('초등학교+병설유치원(7월)'!B12="","",'초등학교+병설유치원(7월)'!B12)</x:f>
        <x:v>이리남창초</x:v>
      </x:c>
      <x:c r="D10" s="281" t="str">
        <x:f>IF('초등학교+병설유치원(7월)'!C12="","",'초등학교+병설유치원(7월)'!C12)</x:f>
        <x:v>익산시 인북로 171</x:v>
      </x:c>
      <x:c r="E10" s="281" t="str">
        <x:f>IF('초등학교+병설유치원(7월)'!D12="","",'초등학교+병설유치원(7월)'!D12)</x:f>
        <x:v>안화정
(070-7777-4516
(010-2764-0079))</x:v>
      </x:c>
      <x:c r="F10" s="281" t="str">
        <x:f>IF('초등학교+병설유치원(7월)'!E12="","",'초등학교+병설유치원(7월)'!E12)</x:f>
        <x:v>최자영
(070-7706-5496)</x:v>
      </x:c>
      <x:c r="G10" s="284" t="n">
        <x:f>IF('초등학교+병설유치원(7월)'!F12="","",'초등학교+병설유치원(7월)'!F12)</x:f>
        <x:v>19</x:v>
      </x:c>
      <x:c r="H10" s="284" t="n">
        <x:f>IF('초등학교+병설유치원(7월)'!G12="","",'초등학교+병설유치원(7월)'!G12)</x:f>
        <x:v>19</x:v>
      </x:c>
      <x:c r="I10" s="284" t="str">
        <x:f>IF('초등학교+병설유치원(7월)'!H12="","",'초등학교+병설유치원(7월)'!H12)</x:f>
      </x:c>
      <x:c r="J10" s="284" t="str">
        <x:f>IF('초등학교+병설유치원(7월)'!I12="","",'초등학교+병설유치원(7월)'!I12)</x:f>
      </x:c>
      <x:c r="K10" s="284" t="str">
        <x:f>IF('초등학교+병설유치원(7월)'!J12="","",'초등학교+병설유치원(7월)'!J12)</x:f>
      </x:c>
      <x:c r="L10" s="284" t="str">
        <x:f>IF('초등학교+병설유치원(7월)'!K12="","",'초등학교+병설유치원(7월)'!K12)</x:f>
      </x:c>
      <x:c r="M10" s="285" t="n">
        <x:f>IF('초등학교+병설유치원(7월)'!L12="","",'초등학교+병설유치원(7월)'!L12)</x:f>
        <x:v>0.4930555555555556</x:v>
      </x:c>
      <x:c r="N10" s="281" t="str">
        <x:f>IF('초등학교+병설유치원(7월)'!M12="","",'초등학교+병설유치원(7월)'!M12)</x:f>
        <x:v>7.20.~8.18.
(21일)</x:v>
      </x:c>
      <x:c r="O10" s="281" t="str">
        <x:f>IF('초등학교+병설유치원(7월)'!N12="","",'초등학교+병설유치원(7월)'!N12)</x:f>
      </x:c>
      <x:c r="P10" s="282" t="str">
        <x:f>IF('초등학교+병설유치원(7월)'!O12="","",'초등학교+병설유치원(7월)'!O12)</x:f>
        <x:v>21일</x:v>
      </x:c>
      <x:c r="Q10" s="282" t="str">
        <x:f>IF('초등학교+병설유치원(7월)'!P12="","",'초등학교+병설유치원(7월)'!P12)</x:f>
        <x:v>배식</x:v>
      </x:c>
      <x:c r="R10" s="281" t="str">
        <x:f>IF('초등학교+병설유치원(7월)'!CF12="","",'초등학교+병설유치원(7월)'!CF12)</x:f>
        <x:v>돌봄1반</x:v>
      </x:c>
      <x:c r="S10" s="281" t="str">
        <x:f>IF('초등학교+병설유치원(7월)'!CG12="","",'초등학교+병설유치원(7월)'!CG12)</x:f>
        <x:v>안화정</x:v>
      </x:c>
      <x:c r="T10" s="281" t="str">
        <x:f>IF('초등학교+병설유치원(7월)'!CH12="","",'초등학교+병설유치원(7월)'!CH12)</x:f>
      </x:c>
      <x:c r="U10" s="288" t="n">
        <x:f>SUM(X10:AH10)</x:f>
        <x:v>190</x:v>
      </x:c>
      <x:c r="V10" s="288" t="n">
        <x:f>SUM(AI10:BB10)</x:f>
        <x:v>209</x:v>
      </x:c>
      <x:c r="W10" s="288" t="n">
        <x:f>U10+V10</x:f>
        <x:v>399</x:v>
      </x:c>
      <x:c r="X10" s="286" t="n">
        <x:f>SUM('초등학교+병설유치원(7월)'!Q12:'초등학교+병설유치원(7월)'!U12)</x:f>
        <x:v>0</x:v>
      </x:c>
      <x:c r="Y10" s="286" t="n">
        <x:f>SUM('초등학교+병설유치원(7월)'!W12:'초등학교+병설유치원(7월)'!AA12)</x:f>
        <x:v>19</x:v>
      </x:c>
      <x:c r="Z10" s="286" t="n">
        <x:f>SUM('초등학교+병설유치원(7월)'!AC12:'초등학교+병설유치원(7월)'!AG12)</x:f>
        <x:v>19</x:v>
      </x:c>
      <x:c r="AA10" s="286" t="n">
        <x:f>SUM('초등학교+병설유치원(7월)'!AI12:'초등학교+병설유치원(7월)'!AM12)</x:f>
        <x:v>19</x:v>
      </x:c>
      <x:c r="AB10" s="286" t="n">
        <x:f>SUM('초등학교+병설유치원(7월)'!AO12:'초등학교+병설유치원(7월)'!AS12)</x:f>
        <x:v>19</x:v>
      </x:c>
      <x:c r="AC10" s="286" t="n">
        <x:f>SUM('초등학교+병설유치원(7월)'!AU12:'초등학교+병설유치원(7월)'!AY12)</x:f>
        <x:v>19</x:v>
      </x:c>
      <x:c r="AD10" s="286" t="n">
        <x:f>SUM('초등학교+병설유치원(7월)'!BA12:'초등학교+병설유치원(7월)'!BE12)</x:f>
        <x:v>19</x:v>
      </x:c>
      <x:c r="AE10" s="286" t="n">
        <x:f>SUM('초등학교+병설유치원(7월)'!BG12:'초등학교+병설유치원(7월)'!BK12)</x:f>
        <x:v>19</x:v>
      </x:c>
      <x:c r="AF10" s="286" t="n">
        <x:f>SUM('초등학교+병설유치원(7월)'!BM12:'초등학교+병설유치원(7월)'!BQ12)</x:f>
        <x:v>19</x:v>
      </x:c>
      <x:c r="AG10" s="286" t="n">
        <x:f>SUM('초등학교+병설유치원(7월)'!BS12:'초등학교+병설유치원(7월)'!BW12)</x:f>
        <x:v>19</x:v>
      </x:c>
      <x:c r="AH10" s="286" t="n">
        <x:f>SUM('초등학교+병설유치원(7월)'!BY12:'초등학교+병설유치원(7월)'!CC12)</x:f>
        <x:v>19</x:v>
      </x:c>
      <x:c r="AI10" s="286" t="n">
        <x:f>SUM('초등학교+병설유치원(8월)'!Q12:'초등학교+병설유치원(8월)'!U12)</x:f>
        <x:v>19</x:v>
      </x:c>
      <x:c r="AJ10" s="286" t="n">
        <x:f>SUM('초등학교+병설유치원(8월)'!W12:'초등학교+병설유치원(8월)'!AA12)</x:f>
        <x:v>19</x:v>
      </x:c>
      <x:c r="AK10" s="286" t="n">
        <x:f>SUM('초등학교+병설유치원(8월)'!AC12:'초등학교+병설유치원(8월)'!AG12)</x:f>
        <x:v>19</x:v>
      </x:c>
      <x:c r="AL10" s="286" t="n">
        <x:f>SUM('초등학교+병설유치원(8월)'!AI12:'초등학교+병설유치원(8월)'!AM12)</x:f>
        <x:v>19</x:v>
      </x:c>
      <x:c r="AM10" s="286" t="n">
        <x:f>SUM('초등학교+병설유치원(8월)'!AO12:'초등학교+병설유치원(8월)'!AS12)</x:f>
        <x:v>19</x:v>
      </x:c>
      <x:c r="AN10" s="286" t="n">
        <x:f>SUM('초등학교+병설유치원(8월)'!AU12:'초등학교+병설유치원(8월)'!AY12)</x:f>
        <x:v>19</x:v>
      </x:c>
      <x:c r="AO10" s="286" t="n">
        <x:f>SUM('초등학교+병설유치원(8월)'!BA12:'초등학교+병설유치원(8월)'!BE12)</x:f>
        <x:v>19</x:v>
      </x:c>
      <x:c r="AP10" s="286" t="n">
        <x:f>SUM('초등학교+병설유치원(8월)'!BG12:'초등학교+병설유치원(8월)'!BK12)</x:f>
        <x:v>19</x:v>
      </x:c>
      <x:c r="AQ10" s="286" t="n">
        <x:f>SUM('초등학교+병설유치원(8월)'!BM12:'초등학교+병설유치원(8월)'!BQ12)</x:f>
        <x:v>19</x:v>
      </x:c>
      <x:c r="AR10" s="286" t="n">
        <x:f>SUM('초등학교+병설유치원(8월)'!BS12:'초등학교+병설유치원(8월)'!BW12)</x:f>
        <x:v>19</x:v>
      </x:c>
      <x:c r="AS10" s="286" t="n">
        <x:f>SUM('초등학교+병설유치원(8월)'!BY12:'초등학교+병설유치원(8월)'!CC12)</x:f>
        <x:v>19</x:v>
      </x:c>
      <x:c r="AT10" s="286" t="n">
        <x:f>SUM('초등학교+병설유치원(8월)'!CE12:'초등학교+병설유치원(8월)'!CI12)</x:f>
        <x:v>0</x:v>
      </x:c>
      <x:c r="AU10" s="286" t="n">
        <x:f>SUM('초등학교+병설유치원(8월)'!CK12:'초등학교+병설유치원(8월)'!CO12)</x:f>
        <x:v>0</x:v>
      </x:c>
      <x:c r="AV10" s="286" t="n">
        <x:f>SUM('초등학교+병설유치원(8월)'!CQ12:'초등학교+병설유치원(8월)'!CU12)</x:f>
        <x:v>0</x:v>
      </x:c>
      <x:c r="AW10" s="286" t="n">
        <x:f>SUM('초등학교+병설유치원(8월)'!CW12:'초등학교+병설유치원(8월)'!DA12)</x:f>
        <x:v>0</x:v>
      </x:c>
      <x:c r="AX10" s="286" t="n">
        <x:f>SUM('초등학교+병설유치원(8월)'!DC12:'초등학교+병설유치원(8월)'!DG12)</x:f>
        <x:v>0</x:v>
      </x:c>
      <x:c r="AY10" s="286" t="n">
        <x:f>SUM('초등학교+병설유치원(8월)'!DI12:'초등학교+병설유치원(8월)'!DM12)</x:f>
        <x:v>0</x:v>
      </x:c>
      <x:c r="AZ10" s="286" t="n">
        <x:f>SUM('초등학교+병설유치원(8월)'!DO12:'초등학교+병설유치원(8월)'!DS12)</x:f>
        <x:v>0</x:v>
      </x:c>
      <x:c r="BA10" s="286" t="n">
        <x:f>SUM('초등학교+병설유치원(8월)'!DU12:'초등학교+병설유치원(8월)'!DY12)</x:f>
        <x:v>0</x:v>
      </x:c>
      <x:c r="BB10" s="286" t="n">
        <x:f>SUM('초등학교+병설유치원(8월)'!EA12:'초등학교+병설유치원(8월)'!EE12)</x:f>
        <x:v>0</x:v>
      </x:c>
    </x:row>
    <x:row r="11" ht="44" customHeight="1">
      <x:c r="A11" s="282" t="n">
        <x:f>IF('초등학교+병설유치원(7월)'!A13="","",'초등학교+병설유치원(7월)'!A13)</x:f>
        <x:v>5</x:v>
      </x:c>
      <x:c r="B11" s="282" t="str">
        <x:v>초등학교</x:v>
      </x:c>
      <x:c r="C11" s="282" t="str">
        <x:f>IF('초등학교+병설유치원(7월)'!B13="","",'초등학교+병설유치원(7월)'!B13)</x:f>
        <x:v>이리남초</x:v>
      </x:c>
      <x:c r="D11" s="281" t="str">
        <x:f>IF('초등학교+병설유치원(7월)'!C13="","",'초등학교+병설유치원(7월)'!C13)</x:f>
        <x:v>익산시 번영로 2040-9</x:v>
      </x:c>
      <x:c r="E11" s="281" t="str">
        <x:f>IF('초등학교+병설유치원(7월)'!D13="","",'초등학교+병설유치원(7월)'!D13)</x:f>
        <x:v>박정민
(063-851-1413
010-2484-1287)</x:v>
      </x:c>
      <x:c r="F11" s="281" t="str">
        <x:f>IF('초등학교+병설유치원(7월)'!E13="","",'초등학교+병설유치원(7월)'!E13)</x:f>
        <x:v>진이순
(063-851-1413
010-7331-6381)</x:v>
      </x:c>
      <x:c r="G11" s="284" t="n">
        <x:f>IF('초등학교+병설유치원(7월)'!F13="","",'초등학교+병설유치원(7월)'!F13)</x:f>
        <x:v>16</x:v>
      </x:c>
      <x:c r="H11" s="284" t="n">
        <x:f>IF('초등학교+병설유치원(7월)'!G13="","",'초등학교+병설유치원(7월)'!G13)</x:f>
        <x:v>16</x:v>
      </x:c>
      <x:c r="I11" s="284" t="str">
        <x:f>IF('초등학교+병설유치원(7월)'!H13="","",'초등학교+병설유치원(7월)'!H13)</x:f>
      </x:c>
      <x:c r="J11" s="284" t="str">
        <x:f>IF('초등학교+병설유치원(7월)'!I13="","",'초등학교+병설유치원(7월)'!I13)</x:f>
      </x:c>
      <x:c r="K11" s="284" t="str">
        <x:f>IF('초등학교+병설유치원(7월)'!J13="","",'초등학교+병설유치원(7월)'!J13)</x:f>
      </x:c>
      <x:c r="L11" s="284" t="str">
        <x:f>IF('초등학교+병설유치원(7월)'!K13="","",'초등학교+병설유치원(7월)'!K13)</x:f>
      </x:c>
      <x:c r="M11" s="285" t="n">
        <x:f>IF('초등학교+병설유치원(7월)'!L13="","",'초등학교+병설유치원(7월)'!L13)</x:f>
        <x:v>0.4652777777777778</x:v>
      </x:c>
      <x:c r="N11" s="281" t="str">
        <x:f>IF('초등학교+병설유치원(7월)'!M13="","",'초등학교+병설유치원(7월)'!M13)</x:f>
        <x:v>7.28.~8.7.
(9일)</x:v>
      </x:c>
      <x:c r="O11" s="281" t="str">
        <x:f>IF('초등학교+병설유치원(7월)'!N13="","",'초등학교+병설유치원(7월)'!N13)</x:f>
      </x:c>
      <x:c r="P11" s="282" t="str">
        <x:f>IF('초등학교+병설유치원(7월)'!O13="","",'초등학교+병설유치원(7월)'!O13)</x:f>
        <x:v>9일</x:v>
      </x:c>
      <x:c r="Q11" s="282" t="str">
        <x:f>IF('초등학교+병설유치원(7월)'!P13="","",'초등학교+병설유치원(7월)'!P13)</x:f>
        <x:v>도시락</x:v>
      </x:c>
      <x:c r="R11" s="281" t="str">
        <x:f>IF('초등학교+병설유치원(7월)'!CF13="","",'초등학교+병설유치원(7월)'!CF13)</x:f>
        <x:v>돌봄1반</x:v>
      </x:c>
      <x:c r="S11" s="281" t="str">
        <x:f>IF('초등학교+병설유치원(7월)'!CG13="","",'초등학교+병설유치원(7월)'!CG13)</x:f>
        <x:v>박정민</x:v>
      </x:c>
      <x:c r="T11" s="281" t="str">
        <x:f>IF('초등학교+병설유치원(7월)'!CH13="","",'초등학교+병설유치원(7월)'!CH13)</x:f>
      </x:c>
      <x:c r="U11" s="288" t="n">
        <x:f>SUM(X11:AH11)</x:f>
        <x:v>64</x:v>
      </x:c>
      <x:c r="V11" s="288" t="n">
        <x:f>SUM(AI11:BB11)</x:f>
        <x:v>80</x:v>
      </x:c>
      <x:c r="W11" s="288" t="n">
        <x:f>U11+V11</x:f>
        <x:v>144</x:v>
      </x:c>
      <x:c r="X11" s="286" t="n">
        <x:f>SUM('초등학교+병설유치원(7월)'!Q13:'초등학교+병설유치원(7월)'!U13)</x:f>
        <x:v>0</x:v>
      </x:c>
      <x:c r="Y11" s="286" t="n">
        <x:f>SUM('초등학교+병설유치원(7월)'!W13:'초등학교+병설유치원(7월)'!AA13)</x:f>
        <x:v>0</x:v>
      </x:c>
      <x:c r="Z11" s="286" t="n">
        <x:f>SUM('초등학교+병설유치원(7월)'!AC13:'초등학교+병설유치원(7월)'!AG13)</x:f>
        <x:v>0</x:v>
      </x:c>
      <x:c r="AA11" s="286" t="n">
        <x:f>SUM('초등학교+병설유치원(7월)'!AI13:'초등학교+병설유치원(7월)'!AM13)</x:f>
        <x:v>0</x:v>
      </x:c>
      <x:c r="AB11" s="286" t="n">
        <x:f>SUM('초등학교+병설유치원(7월)'!AO13:'초등학교+병설유치원(7월)'!AS13)</x:f>
        <x:v>0</x:v>
      </x:c>
      <x:c r="AC11" s="286" t="n">
        <x:f>SUM('초등학교+병설유치원(7월)'!AU13:'초등학교+병설유치원(7월)'!AY13)</x:f>
        <x:v>0</x:v>
      </x:c>
      <x:c r="AD11" s="286" t="n">
        <x:f>SUM('초등학교+병설유치원(7월)'!BA13:'초등학교+병설유치원(7월)'!BE13)</x:f>
        <x:v>0</x:v>
      </x:c>
      <x:c r="AE11" s="286" t="n">
        <x:f>SUM('초등학교+병설유치원(7월)'!BG13:'초등학교+병설유치원(7월)'!BK13)</x:f>
        <x:v>16</x:v>
      </x:c>
      <x:c r="AF11" s="286" t="n">
        <x:f>SUM('초등학교+병설유치원(7월)'!BM13:'초등학교+병설유치원(7월)'!BQ13)</x:f>
        <x:v>16</x:v>
      </x:c>
      <x:c r="AG11" s="286" t="n">
        <x:f>SUM('초등학교+병설유치원(7월)'!BS13:'초등학교+병설유치원(7월)'!BW13)</x:f>
        <x:v>16</x:v>
      </x:c>
      <x:c r="AH11" s="286" t="n">
        <x:f>SUM('초등학교+병설유치원(7월)'!BY13:'초등학교+병설유치원(7월)'!CC13)</x:f>
        <x:v>16</x:v>
      </x:c>
      <x:c r="AI11" s="286" t="n">
        <x:f>SUM('초등학교+병설유치원(8월)'!Q13:'초등학교+병설유치원(8월)'!U13)</x:f>
        <x:v>16</x:v>
      </x:c>
      <x:c r="AJ11" s="286" t="n">
        <x:f>SUM('초등학교+병설유치원(8월)'!W13:'초등학교+병설유치원(8월)'!AA13)</x:f>
        <x:v>16</x:v>
      </x:c>
      <x:c r="AK11" s="286" t="n">
        <x:f>SUM('초등학교+병설유치원(8월)'!AC13:'초등학교+병설유치원(8월)'!AG13)</x:f>
        <x:v>16</x:v>
      </x:c>
      <x:c r="AL11" s="286" t="n">
        <x:f>SUM('초등학교+병설유치원(8월)'!AI13:'초등학교+병설유치원(8월)'!AM13)</x:f>
        <x:v>16</x:v>
      </x:c>
      <x:c r="AM11" s="286" t="n">
        <x:f>SUM('초등학교+병설유치원(8월)'!AO13:'초등학교+병설유치원(8월)'!AS13)</x:f>
        <x:v>16</x:v>
      </x:c>
      <x:c r="AN11" s="286" t="n">
        <x:f>SUM('초등학교+병설유치원(8월)'!AU13:'초등학교+병설유치원(8월)'!AY13)</x:f>
        <x:v>0</x:v>
      </x:c>
      <x:c r="AO11" s="286" t="n">
        <x:f>SUM('초등학교+병설유치원(8월)'!BA13:'초등학교+병설유치원(8월)'!BE13)</x:f>
        <x:v>0</x:v>
      </x:c>
      <x:c r="AP11" s="286" t="n">
        <x:f>SUM('초등학교+병설유치원(8월)'!BG13:'초등학교+병설유치원(8월)'!BK13)</x:f>
        <x:v>0</x:v>
      </x:c>
      <x:c r="AQ11" s="286" t="n">
        <x:f>SUM('초등학교+병설유치원(8월)'!BM13:'초등학교+병설유치원(8월)'!BQ13)</x:f>
        <x:v>0</x:v>
      </x:c>
      <x:c r="AR11" s="286" t="n">
        <x:f>SUM('초등학교+병설유치원(8월)'!BS13:'초등학교+병설유치원(8월)'!BW13)</x:f>
        <x:v>0</x:v>
      </x:c>
      <x:c r="AS11" s="286" t="n">
        <x:f>SUM('초등학교+병설유치원(8월)'!BY13:'초등학교+병설유치원(8월)'!CC13)</x:f>
        <x:v>0</x:v>
      </x:c>
      <x:c r="AT11" s="286" t="n">
        <x:f>SUM('초등학교+병설유치원(8월)'!CE13:'초등학교+병설유치원(8월)'!CI13)</x:f>
        <x:v>0</x:v>
      </x:c>
      <x:c r="AU11" s="286" t="n">
        <x:f>SUM('초등학교+병설유치원(8월)'!CK13:'초등학교+병설유치원(8월)'!CO13)</x:f>
        <x:v>0</x:v>
      </x:c>
      <x:c r="AV11" s="286" t="n">
        <x:f>SUM('초등학교+병설유치원(8월)'!CQ13:'초등학교+병설유치원(8월)'!CU13)</x:f>
        <x:v>0</x:v>
      </x:c>
      <x:c r="AW11" s="286" t="n">
        <x:f>SUM('초등학교+병설유치원(8월)'!CW13:'초등학교+병설유치원(8월)'!DA13)</x:f>
        <x:v>0</x:v>
      </x:c>
      <x:c r="AX11" s="286" t="n">
        <x:f>SUM('초등학교+병설유치원(8월)'!DC13:'초등학교+병설유치원(8월)'!DG13)</x:f>
        <x:v>0</x:v>
      </x:c>
      <x:c r="AY11" s="286" t="n">
        <x:f>SUM('초등학교+병설유치원(8월)'!DI13:'초등학교+병설유치원(8월)'!DM13)</x:f>
        <x:v>0</x:v>
      </x:c>
      <x:c r="AZ11" s="286" t="n">
        <x:f>SUM('초등학교+병설유치원(8월)'!DO13:'초등학교+병설유치원(8월)'!DS13)</x:f>
        <x:v>0</x:v>
      </x:c>
      <x:c r="BA11" s="286" t="n">
        <x:f>SUM('초등학교+병설유치원(8월)'!DU13:'초등학교+병설유치원(8월)'!DY13)</x:f>
        <x:v>0</x:v>
      </x:c>
      <x:c r="BB11" s="286" t="n">
        <x:f>SUM('초등학교+병설유치원(8월)'!EA13:'초등학교+병설유치원(8월)'!EE13)</x:f>
        <x:v>0</x:v>
      </x:c>
    </x:row>
    <x:row r="12" ht="44" customHeight="1">
      <x:c r="A12" s="282" t="n">
        <x:f>IF('초등학교+병설유치원(7월)'!A14="","",'초등학교+병설유치원(7월)'!A14)</x:f>
        <x:v>6</x:v>
      </x:c>
      <x:c r="B12" s="282" t="str">
        <x:v>초등학교</x:v>
      </x:c>
      <x:c r="C12" s="282" t="str">
        <x:f>IF('초등학교+병설유치원(7월)'!B14="","",'초등학교+병설유치원(7월)'!B14)</x:f>
        <x:v>이리동남초</x:v>
      </x:c>
      <x:c r="D12" s="281" t="str">
        <x:f>IF('초등학교+병설유치원(7월)'!C14="","",'초등학교+병설유치원(7월)'!C14)</x:f>
        <x:v>익산시 동천로 7길 18</x:v>
      </x:c>
      <x:c r="E12" s="281" t="str">
        <x:f>IF('초등학교+병설유치원(7월)'!D14="","",'초등학교+병설유치원(7월)'!D14)</x:f>
        <x:v>유현정
(063-723-2002
010-7158-1305)</x:v>
      </x:c>
      <x:c r="F12" s="281" t="str">
        <x:f>IF('초등학교+병설유치원(7월)'!E14="","",'초등학교+병설유치원(7월)'!E14)</x:f>
        <x:v>채경순
(063-842-8294
010-7417-3894)</x:v>
      </x:c>
      <x:c r="G12" s="284" t="n">
        <x:f>IF('초등학교+병설유치원(7월)'!F14="","",'초등학교+병설유치원(7월)'!F14)</x:f>
        <x:v>49</x:v>
      </x:c>
      <x:c r="H12" s="284" t="n">
        <x:f>IF('초등학교+병설유치원(7월)'!G14="","",'초등학교+병설유치원(7월)'!G14)</x:f>
        <x:v>18</x:v>
      </x:c>
      <x:c r="I12" s="284" t="n">
        <x:f>IF('초등학교+병설유치원(7월)'!H14="","",'초등학교+병설유치원(7월)'!H14)</x:f>
        <x:v>17</x:v>
      </x:c>
      <x:c r="J12" s="284" t="str">
        <x:f>IF('초등학교+병설유치원(7월)'!I14="","",'초등학교+병설유치원(7월)'!I14)</x:f>
      </x:c>
      <x:c r="K12" s="284" t="str">
        <x:f>IF('초등학교+병설유치원(7월)'!J14="","",'초등학교+병설유치원(7월)'!J14)</x:f>
      </x:c>
      <x:c r="L12" s="284" t="n">
        <x:f>IF('초등학교+병설유치원(7월)'!K14="","",'초등학교+병설유치원(7월)'!K14)</x:f>
        <x:v>14</x:v>
      </x:c>
      <x:c r="M12" s="285" t="n">
        <x:f>IF('초등학교+병설유치원(7월)'!L14="","",'초등학교+병설유치원(7월)'!L14)</x:f>
        <x:v>0.4791666666666667</x:v>
      </x:c>
      <x:c r="N12" s="281" t="str">
        <x:f>IF('초등학교+병설유치원(7월)'!M14="","",'초등학교+병설유치원(7월)'!M14)</x:f>
        <x:v>7.27.~8.20.
(15일)</x:v>
      </x:c>
      <x:c r="O12" s="281" t="str">
        <x:f>IF('초등학교+병설유치원(7월)'!N14="","",'초등학교+병설유치원(7월)'!N14)</x:f>
        <x:v>7.29.~7.31.</x:v>
      </x:c>
      <x:c r="P12" s="282" t="str">
        <x:f>IF('초등학교+병설유치원(7월)'!O14="","",'초등학교+병설유치원(7월)'!O14)</x:f>
        <x:v>15일</x:v>
      </x:c>
      <x:c r="Q12" s="282" t="str">
        <x:f>IF('초등학교+병설유치원(7월)'!P14="","",'초등학교+병설유치원(7월)'!P14)</x:f>
        <x:v>배식</x:v>
      </x:c>
      <x:c r="R12" s="281" t="str">
        <x:f>IF('초등학교+병설유치원(7월)'!CF14="","",'초등학교+병설유치원(7월)'!CF14)</x:f>
        <x:v>돌봄2반</x:v>
      </x:c>
      <x:c r="S12" s="281" t="str">
        <x:f>IF('초등학교+병설유치원(7월)'!CG14="","",'초등학교+병설유치원(7월)'!CG14)</x:f>
        <x:v>유현정</x:v>
      </x:c>
      <x:c r="T12" s="281" t="str">
        <x:f>IF('초등학교+병설유치원(7월)'!CH14="","",'초등학교+병설유치원(7월)'!CH14)</x:f>
      </x:c>
      <x:c r="U12" s="288" t="n">
        <x:f>SUM(X12:AH12)</x:f>
        <x:v>98</x:v>
      </x:c>
      <x:c r="V12" s="288" t="n">
        <x:f>SUM(AI12:BB12)</x:f>
        <x:v>637</x:v>
      </x:c>
      <x:c r="W12" s="288" t="n">
        <x:f>U12+V12</x:f>
        <x:v>735</x:v>
      </x:c>
      <x:c r="X12" s="286" t="n">
        <x:f>SUM('초등학교+병설유치원(7월)'!Q14:'초등학교+병설유치원(7월)'!U14)</x:f>
        <x:v>0</x:v>
      </x:c>
      <x:c r="Y12" s="286" t="n">
        <x:f>SUM('초등학교+병설유치원(7월)'!W14:'초등학교+병설유치원(7월)'!AA14)</x:f>
        <x:v>0</x:v>
      </x:c>
      <x:c r="Z12" s="286" t="n">
        <x:f>SUM('초등학교+병설유치원(7월)'!AC14:'초등학교+병설유치원(7월)'!AG14)</x:f>
        <x:v>0</x:v>
      </x:c>
      <x:c r="AA12" s="286" t="n">
        <x:f>SUM('초등학교+병설유치원(7월)'!AI14:'초등학교+병설유치원(7월)'!AM14)</x:f>
        <x:v>0</x:v>
      </x:c>
      <x:c r="AB12" s="286" t="n">
        <x:f>SUM('초등학교+병설유치원(7월)'!AO14:'초등학교+병설유치원(7월)'!AS14)</x:f>
        <x:v>0</x:v>
      </x:c>
      <x:c r="AC12" s="286" t="n">
        <x:f>SUM('초등학교+병설유치원(7월)'!AU14:'초등학교+병설유치원(7월)'!AY14)</x:f>
        <x:v>0</x:v>
      </x:c>
      <x:c r="AD12" s="286" t="n">
        <x:f>SUM('초등학교+병설유치원(7월)'!BA14:'초등학교+병설유치원(7월)'!BE14)</x:f>
        <x:v>49</x:v>
      </x:c>
      <x:c r="AE12" s="286" t="n">
        <x:f>SUM('초등학교+병설유치원(7월)'!BG14:'초등학교+병설유치원(7월)'!BK14)</x:f>
        <x:v>49</x:v>
      </x:c>
      <x:c r="AF12" s="286" t="n">
        <x:f>SUM('초등학교+병설유치원(7월)'!BM14:'초등학교+병설유치원(7월)'!BQ14)</x:f>
        <x:v>0</x:v>
      </x:c>
      <x:c r="AG12" s="286" t="n">
        <x:f>SUM('초등학교+병설유치원(7월)'!BS14:'초등학교+병설유치원(7월)'!BW14)</x:f>
        <x:v>0</x:v>
      </x:c>
      <x:c r="AH12" s="286" t="n">
        <x:f>SUM('초등학교+병설유치원(7월)'!BY14:'초등학교+병설유치원(7월)'!CC14)</x:f>
        <x:v>0</x:v>
      </x:c>
      <x:c r="AI12" s="286" t="n">
        <x:f>SUM('초등학교+병설유치원(8월)'!Q14:'초등학교+병설유치원(8월)'!U14)</x:f>
        <x:v>49</x:v>
      </x:c>
      <x:c r="AJ12" s="286" t="n">
        <x:f>SUM('초등학교+병설유치원(8월)'!W14:'초등학교+병설유치원(8월)'!AA14)</x:f>
        <x:v>49</x:v>
      </x:c>
      <x:c r="AK12" s="286" t="n">
        <x:f>SUM('초등학교+병설유치원(8월)'!AC14:'초등학교+병설유치원(8월)'!AG14)</x:f>
        <x:v>49</x:v>
      </x:c>
      <x:c r="AL12" s="286" t="n">
        <x:f>SUM('초등학교+병설유치원(8월)'!AI14:'초등학교+병설유치원(8월)'!AM14)</x:f>
        <x:v>49</x:v>
      </x:c>
      <x:c r="AM12" s="286" t="n">
        <x:f>SUM('초등학교+병설유치원(8월)'!AO14:'초등학교+병설유치원(8월)'!AS14)</x:f>
        <x:v>49</x:v>
      </x:c>
      <x:c r="AN12" s="286" t="n">
        <x:f>SUM('초등학교+병설유치원(8월)'!AU14:'초등학교+병설유치원(8월)'!AY14)</x:f>
        <x:v>49</x:v>
      </x:c>
      <x:c r="AO12" s="286" t="n">
        <x:f>SUM('초등학교+병설유치원(8월)'!BA14:'초등학교+병설유치원(8월)'!BE14)</x:f>
        <x:v>49</x:v>
      </x:c>
      <x:c r="AP12" s="286" t="n">
        <x:f>SUM('초등학교+병설유치원(8월)'!BG14:'초등학교+병설유치원(8월)'!BK14)</x:f>
        <x:v>49</x:v>
      </x:c>
      <x:c r="AQ12" s="286" t="n">
        <x:f>SUM('초등학교+병설유치원(8월)'!BM14:'초등학교+병설유치원(8월)'!BQ14)</x:f>
        <x:v>49</x:v>
      </x:c>
      <x:c r="AR12" s="286" t="n">
        <x:f>SUM('초등학교+병설유치원(8월)'!BS14:'초등학교+병설유치원(8월)'!BW14)</x:f>
        <x:v>49</x:v>
      </x:c>
      <x:c r="AS12" s="286" t="n">
        <x:f>SUM('초등학교+병설유치원(8월)'!BY14:'초등학교+병설유치원(8월)'!CC14)</x:f>
        <x:v>49</x:v>
      </x:c>
      <x:c r="AT12" s="286" t="n">
        <x:f>SUM('초등학교+병설유치원(8월)'!CE14:'초등학교+병설유치원(8월)'!CI14)</x:f>
        <x:v>49</x:v>
      </x:c>
      <x:c r="AU12" s="286" t="n">
        <x:f>SUM('초등학교+병설유치원(8월)'!CK14:'초등학교+병설유치원(8월)'!CO14)</x:f>
        <x:v>49</x:v>
      </x:c>
      <x:c r="AV12" s="286" t="n">
        <x:f>SUM('초등학교+병설유치원(8월)'!CQ14:'초등학교+병설유치원(8월)'!CU14)</x:f>
        <x:v>0</x:v>
      </x:c>
      <x:c r="AW12" s="286" t="n">
        <x:f>SUM('초등학교+병설유치원(8월)'!CW14:'초등학교+병설유치원(8월)'!DA14)</x:f>
        <x:v>0</x:v>
      </x:c>
      <x:c r="AX12" s="286" t="n">
        <x:f>SUM('초등학교+병설유치원(8월)'!DC14:'초등학교+병설유치원(8월)'!DG14)</x:f>
        <x:v>0</x:v>
      </x:c>
      <x:c r="AY12" s="286" t="n">
        <x:f>SUM('초등학교+병설유치원(8월)'!DI14:'초등학교+병설유치원(8월)'!DM14)</x:f>
        <x:v>0</x:v>
      </x:c>
      <x:c r="AZ12" s="286" t="n">
        <x:f>SUM('초등학교+병설유치원(8월)'!DO14:'초등학교+병설유치원(8월)'!DS14)</x:f>
        <x:v>0</x:v>
      </x:c>
      <x:c r="BA12" s="286" t="n">
        <x:f>SUM('초등학교+병설유치원(8월)'!DU14:'초등학교+병설유치원(8월)'!DY14)</x:f>
        <x:v>0</x:v>
      </x:c>
      <x:c r="BB12" s="286" t="n">
        <x:f>SUM('초등학교+병설유치원(8월)'!EA14:'초등학교+병설유치원(8월)'!EE14)</x:f>
        <x:v>0</x:v>
      </x:c>
    </x:row>
    <x:row r="13" ht="44" customHeight="1">
      <x:c r="A13" s="282" t="str">
        <x:f>IF('초등학교+병설유치원(7월)'!A15="","",'초등학교+병설유치원(7월)'!A15)</x:f>
        <x:v>6-1</x:v>
      </x:c>
      <x:c r="B13" s="282" t="str">
        <x:v>병설유치원</x:v>
      </x:c>
      <x:c r="C13" s="282" t="str">
        <x:f>IF('초등학교+병설유치원(7월)'!B15="","",'초등학교+병설유치원(7월)'!B15)</x:f>
        <x:v>이리동남초 병설유치원</x:v>
      </x:c>
      <x:c r="D13" s="281" t="str">
        <x:f>IF('초등학교+병설유치원(7월)'!C15="","",'초등학교+병설유치원(7월)'!C15)</x:f>
        <x:v>익산시 동천로 7길</x:v>
      </x:c>
      <x:c r="E13" s="281" t="str">
        <x:f>IF('초등학교+병설유치원(7월)'!D15="","",'초등학교+병설유치원(7월)'!D15)</x:f>
        <x:v>송숙영
(010-2682-3503)</x:v>
      </x:c>
      <x:c r="F13" s="281" t="str">
        <x:f>IF('초등학교+병설유치원(7월)'!E15="","",'초등학교+병설유치원(7월)'!E15)</x:f>
        <x:v>김복례
(010-9699-2073)</x:v>
      </x:c>
      <x:c r="G13" s="284" t="n">
        <x:f>IF('초등학교+병설유치원(7월)'!F15="","",'초등학교+병설유치원(7월)'!F15)</x:f>
        <x:v>9</x:v>
      </x:c>
      <x:c r="H13" s="284" t="n">
        <x:f>IF('초등학교+병설유치원(7월)'!G15="","",'초등학교+병설유치원(7월)'!G15)</x:f>
        <x:v>9</x:v>
      </x:c>
      <x:c r="I13" s="284" t="str">
        <x:f>IF('초등학교+병설유치원(7월)'!H15="","",'초등학교+병설유치원(7월)'!H15)</x:f>
      </x:c>
      <x:c r="J13" s="284" t="str">
        <x:f>IF('초등학교+병설유치원(7월)'!I15="","",'초등학교+병설유치원(7월)'!I15)</x:f>
      </x:c>
      <x:c r="K13" s="284" t="str">
        <x:f>IF('초등학교+병설유치원(7월)'!J15="","",'초등학교+병설유치원(7월)'!J15)</x:f>
      </x:c>
      <x:c r="L13" s="284" t="str">
        <x:f>IF('초등학교+병설유치원(7월)'!K15="","",'초등학교+병설유치원(7월)'!K15)</x:f>
      </x:c>
      <x:c r="M13" s="285" t="n">
        <x:f>IF('초등학교+병설유치원(7월)'!L15="","",'초등학교+병설유치원(7월)'!L15)</x:f>
        <x:v>0.4930555555555556</x:v>
      </x:c>
      <x:c r="N13" s="281" t="str">
        <x:f>IF('초등학교+병설유치원(7월)'!M15="","",'초등학교+병설유치원(7월)'!M15)</x:f>
        <x:v>7.24.~8.20.(19일)</x:v>
      </x:c>
      <x:c r="O13" s="281" t="str">
        <x:f>IF('초등학교+병설유치원(7월)'!N15="","",'초등학교+병설유치원(7월)'!N15)</x:f>
      </x:c>
      <x:c r="P13" s="282" t="str">
        <x:f>IF('초등학교+병설유치원(7월)'!O15="","",'초등학교+병설유치원(7월)'!O15)</x:f>
        <x:v>19일</x:v>
      </x:c>
      <x:c r="Q13" s="282" t="str">
        <x:f>IF('초등학교+병설유치원(7월)'!P15="","",'초등학교+병설유치원(7월)'!P15)</x:f>
        <x:v>도시락</x:v>
      </x:c>
      <x:c r="R13" s="281" t="str">
        <x:f>IF('초등학교+병설유치원(7월)'!CF15="","",'초등학교+병설유치원(7월)'!CF15)</x:f>
        <x:v>유치원 교사실</x:v>
      </x:c>
      <x:c r="S13" s="281" t="str">
        <x:f>IF('초등학교+병설유치원(7월)'!CG15="","",'초등학교+병설유치원(7월)'!CG15)</x:f>
        <x:v>김복례</x:v>
      </x:c>
      <x:c r="T13" s="281" t="str">
        <x:f>IF('초등학교+병설유치원(7월)'!CH15="","",'초등학교+병설유치원(7월)'!CH15)</x:f>
      </x:c>
      <x:c r="U13" s="288" t="n">
        <x:f>SUM(X13:AH13)</x:f>
        <x:v>58</x:v>
      </x:c>
      <x:c r="V13" s="288" t="n">
        <x:f>SUM(AI13:BB13)</x:f>
        <x:v>117</x:v>
      </x:c>
      <x:c r="W13" s="288" t="n">
        <x:f>U13+V13</x:f>
        <x:v>175</x:v>
      </x:c>
      <x:c r="X13" s="286" t="n">
        <x:f>SUM('초등학교+병설유치원(7월)'!Q15:'초등학교+병설유치원(7월)'!U15)</x:f>
        <x:v>0</x:v>
      </x:c>
      <x:c r="Y13" s="286" t="n">
        <x:f>SUM('초등학교+병설유치원(7월)'!W15:'초등학교+병설유치원(7월)'!AA15)</x:f>
        <x:v>0</x:v>
      </x:c>
      <x:c r="Z13" s="286" t="n">
        <x:f>SUM('초등학교+병설유치원(7월)'!AC15:'초등학교+병설유치원(7월)'!AG15)</x:f>
        <x:v>0</x:v>
      </x:c>
      <x:c r="AA13" s="286" t="n">
        <x:f>SUM('초등학교+병설유치원(7월)'!AI15:'초등학교+병설유치원(7월)'!AM15)</x:f>
        <x:v>0</x:v>
      </x:c>
      <x:c r="AB13" s="286" t="n">
        <x:f>SUM('초등학교+병설유치원(7월)'!AO15:'초등학교+병설유치원(7월)'!AS15)</x:f>
        <x:v>0</x:v>
      </x:c>
      <x:c r="AC13" s="286" t="n">
        <x:f>SUM('초등학교+병설유치원(7월)'!AU15:'초등학교+병설유치원(7월)'!AY15)</x:f>
        <x:v>10</x:v>
      </x:c>
      <x:c r="AD13" s="286" t="n">
        <x:f>SUM('초등학교+병설유치원(7월)'!BA15:'초등학교+병설유치원(7월)'!BE15)</x:f>
        <x:v>9</x:v>
      </x:c>
      <x:c r="AE13" s="286" t="n">
        <x:f>SUM('초등학교+병설유치원(7월)'!BG15:'초등학교+병설유치원(7월)'!BK15)</x:f>
        <x:v>9</x:v>
      </x:c>
      <x:c r="AF13" s="286" t="n">
        <x:f>SUM('초등학교+병설유치원(7월)'!BM15:'초등학교+병설유치원(7월)'!BQ15)</x:f>
        <x:v>10</x:v>
      </x:c>
      <x:c r="AG13" s="286" t="n">
        <x:f>SUM('초등학교+병설유치원(7월)'!BS15:'초등학교+병설유치원(7월)'!BW15)</x:f>
        <x:v>10</x:v>
      </x:c>
      <x:c r="AH13" s="286" t="n">
        <x:f>SUM('초등학교+병설유치원(7월)'!BY15:'초등학교+병설유치원(7월)'!CC15)</x:f>
        <x:v>10</x:v>
      </x:c>
      <x:c r="AI13" s="286" t="n">
        <x:f>SUM('초등학교+병설유치원(8월)'!Q15:'초등학교+병설유치원(8월)'!U15)</x:f>
        <x:v>9</x:v>
      </x:c>
      <x:c r="AJ13" s="286" t="n">
        <x:f>SUM('초등학교+병설유치원(8월)'!W15:'초등학교+병설유치원(8월)'!AA15)</x:f>
        <x:v>9</x:v>
      </x:c>
      <x:c r="AK13" s="286" t="n">
        <x:f>SUM('초등학교+병설유치원(8월)'!AC15:'초등학교+병설유치원(8월)'!AG15)</x:f>
        <x:v>9</x:v>
      </x:c>
      <x:c r="AL13" s="286" t="n">
        <x:f>SUM('초등학교+병설유치원(8월)'!AI15:'초등학교+병설유치원(8월)'!AM15)</x:f>
        <x:v>9</x:v>
      </x:c>
      <x:c r="AM13" s="286" t="n">
        <x:f>SUM('초등학교+병설유치원(8월)'!AO15:'초등학교+병설유치원(8월)'!AS15)</x:f>
        <x:v>9</x:v>
      </x:c>
      <x:c r="AN13" s="286" t="n">
        <x:f>SUM('초등학교+병설유치원(8월)'!AU15:'초등학교+병설유치원(8월)'!AY15)</x:f>
        <x:v>9</x:v>
      </x:c>
      <x:c r="AO13" s="286" t="n">
        <x:f>SUM('초등학교+병설유치원(8월)'!BA15:'초등학교+병설유치원(8월)'!BE15)</x:f>
        <x:v>9</x:v>
      </x:c>
      <x:c r="AP13" s="286" t="n">
        <x:f>SUM('초등학교+병설유치원(8월)'!BG15:'초등학교+병설유치원(8월)'!BK15)</x:f>
        <x:v>9</x:v>
      </x:c>
      <x:c r="AQ13" s="286" t="n">
        <x:f>SUM('초등학교+병설유치원(8월)'!BM15:'초등학교+병설유치원(8월)'!BQ15)</x:f>
        <x:v>9</x:v>
      </x:c>
      <x:c r="AR13" s="286" t="n">
        <x:f>SUM('초등학교+병설유치원(8월)'!BS15:'초등학교+병설유치원(8월)'!BW15)</x:f>
        <x:v>9</x:v>
      </x:c>
      <x:c r="AS13" s="286" t="n">
        <x:f>SUM('초등학교+병설유치원(8월)'!BY15:'초등학교+병설유치원(8월)'!CC15)</x:f>
        <x:v>9</x:v>
      </x:c>
      <x:c r="AT13" s="286" t="n">
        <x:f>SUM('초등학교+병설유치원(8월)'!CE15:'초등학교+병설유치원(8월)'!CI15)</x:f>
        <x:v>9</x:v>
      </x:c>
      <x:c r="AU13" s="286" t="n">
        <x:f>SUM('초등학교+병설유치원(8월)'!CK15:'초등학교+병설유치원(8월)'!CO15)</x:f>
        <x:v>9</x:v>
      </x:c>
      <x:c r="AV13" s="286" t="n">
        <x:f>SUM('초등학교+병설유치원(8월)'!CQ15:'초등학교+병설유치원(8월)'!CU15)</x:f>
        <x:v>0</x:v>
      </x:c>
      <x:c r="AW13" s="286" t="n">
        <x:f>SUM('초등학교+병설유치원(8월)'!CW15:'초등학교+병설유치원(8월)'!DA15)</x:f>
        <x:v>0</x:v>
      </x:c>
      <x:c r="AX13" s="286" t="n">
        <x:f>SUM('초등학교+병설유치원(8월)'!DC15:'초등학교+병설유치원(8월)'!DG15)</x:f>
        <x:v>0</x:v>
      </x:c>
      <x:c r="AY13" s="286" t="n">
        <x:f>SUM('초등학교+병설유치원(8월)'!DI15:'초등학교+병설유치원(8월)'!DM15)</x:f>
        <x:v>0</x:v>
      </x:c>
      <x:c r="AZ13" s="286" t="n">
        <x:f>SUM('초등학교+병설유치원(8월)'!DO15:'초등학교+병설유치원(8월)'!DS15)</x:f>
        <x:v>0</x:v>
      </x:c>
      <x:c r="BA13" s="286" t="n">
        <x:f>SUM('초등학교+병설유치원(8월)'!DU15:'초등학교+병설유치원(8월)'!DY15)</x:f>
        <x:v>0</x:v>
      </x:c>
      <x:c r="BB13" s="286" t="n">
        <x:f>SUM('초등학교+병설유치원(8월)'!EA15:'초등학교+병설유치원(8월)'!EE15)</x:f>
        <x:v>0</x:v>
      </x:c>
    </x:row>
    <x:row r="14" ht="44" customHeight="1">
      <x:c r="A14" s="282" t="n">
        <x:f>IF('초등학교+병설유치원(7월)'!A16="","",'초등학교+병설유치원(7월)'!A16)</x:f>
        <x:v>7</x:v>
      </x:c>
      <x:c r="B14" s="282" t="str">
        <x:v>초등학교</x:v>
      </x:c>
      <x:c r="C14" s="282" t="str">
        <x:f>IF('초등학교+병설유치원(7월)'!B16="","",'초등학교+병설유치원(7월)'!B16)</x:f>
        <x:v>이리동북초</x:v>
      </x:c>
      <x:c r="D14" s="281" t="str">
        <x:f>IF('초등학교+병설유치원(7월)'!C16="","",'초등학교+병설유치원(7월)'!C16)</x:f>
        <x:v>익산시 고봉로 190-3</x:v>
      </x:c>
      <x:c r="E14" s="281" t="str">
        <x:f>IF('초등학교+병설유치원(7월)'!D16="","",'초등학교+병설유치원(7월)'!D16)</x:f>
        <x:v>강윤녕
(063-853-8430
010-8641-2248)</x:v>
      </x:c>
      <x:c r="F14" s="281" t="str">
        <x:f>IF('초등학교+병설유치원(7월)'!E16="","",'초등학교+병설유치원(7월)'!E16)</x:f>
        <x:v>송배경
(063-853-8430
010-8641-2248)</x:v>
      </x:c>
      <x:c r="G14" s="284" t="n">
        <x:f>IF('초등학교+병설유치원(7월)'!F16="","",'초등학교+병설유치원(7월)'!F16)</x:f>
        <x:v>23</x:v>
      </x:c>
      <x:c r="H14" s="284" t="n">
        <x:f>IF('초등학교+병설유치원(7월)'!G16="","",'초등학교+병설유치원(7월)'!G16)</x:f>
        <x:v>23</x:v>
      </x:c>
      <x:c r="I14" s="284" t="str">
        <x:f>IF('초등학교+병설유치원(7월)'!H16="","",'초등학교+병설유치원(7월)'!H16)</x:f>
      </x:c>
      <x:c r="J14" s="284" t="str">
        <x:f>IF('초등학교+병설유치원(7월)'!I16="","",'초등학교+병설유치원(7월)'!I16)</x:f>
      </x:c>
      <x:c r="K14" s="284" t="str">
        <x:f>IF('초등학교+병설유치원(7월)'!J16="","",'초등학교+병설유치원(7월)'!J16)</x:f>
      </x:c>
      <x:c r="L14" s="284" t="str">
        <x:f>IF('초등학교+병설유치원(7월)'!K16="","",'초등학교+병설유치원(7월)'!K16)</x:f>
      </x:c>
      <x:c r="M14" s="285" t="n">
        <x:f>IF('초등학교+병설유치원(7월)'!L16="","",'초등학교+병설유치원(7월)'!L16)</x:f>
        <x:v>0.4861111111111111</x:v>
      </x:c>
      <x:c r="N14" s="281" t="str">
        <x:f>IF('초등학교+병설유치원(7월)'!M16="","",'초등학교+병설유치원(7월)'!M16)</x:f>
        <x:v>7.29.~8.24.
(18일)</x:v>
      </x:c>
      <x:c r="O14" s="281" t="str">
        <x:f>IF('초등학교+병설유치원(7월)'!N16="","",'초등학교+병설유치원(7월)'!N16)</x:f>
      </x:c>
      <x:c r="P14" s="282" t="str">
        <x:f>IF('초등학교+병설유치원(7월)'!O16="","",'초등학교+병설유치원(7월)'!O16)</x:f>
        <x:v>18일</x:v>
      </x:c>
      <x:c r="Q14" s="282" t="str">
        <x:f>IF('초등학교+병설유치원(7월)'!P16="","",'초등학교+병설유치원(7월)'!P16)</x:f>
        <x:v>배식</x:v>
      </x:c>
      <x:c r="R14" s="281" t="str">
        <x:f>IF('초등학교+병설유치원(7월)'!CF16="","",'초등학교+병설유치원(7월)'!CF16)</x:f>
        <x:v>돌봄1반</x:v>
      </x:c>
      <x:c r="S14" s="281" t="str">
        <x:f>IF('초등학교+병설유치원(7월)'!CG16="","",'초등학교+병설유치원(7월)'!CG16)</x:f>
        <x:v>강윤녕</x:v>
      </x:c>
      <x:c r="T14" s="281" t="str">
        <x:f>IF('초등학교+병설유치원(7월)'!CH16="","",'초등학교+병설유치원(7월)'!CH16)</x:f>
      </x:c>
      <x:c r="U14" s="288" t="n">
        <x:f>SUM(X14:AH14)</x:f>
        <x:v>69</x:v>
      </x:c>
      <x:c r="V14" s="288" t="n">
        <x:f>SUM(AI14:BB14)</x:f>
        <x:v>345</x:v>
      </x:c>
      <x:c r="W14" s="288" t="n">
        <x:f>U14+V14</x:f>
        <x:v>414</x:v>
      </x:c>
      <x:c r="X14" s="286" t="n">
        <x:f>SUM('초등학교+병설유치원(7월)'!Q16:'초등학교+병설유치원(7월)'!U16)</x:f>
        <x:v>0</x:v>
      </x:c>
      <x:c r="Y14" s="286" t="n">
        <x:f>SUM('초등학교+병설유치원(7월)'!W16:'초등학교+병설유치원(7월)'!AA16)</x:f>
        <x:v>0</x:v>
      </x:c>
      <x:c r="Z14" s="286" t="n">
        <x:f>SUM('초등학교+병설유치원(7월)'!AC16:'초등학교+병설유치원(7월)'!AG16)</x:f>
        <x:v>0</x:v>
      </x:c>
      <x:c r="AA14" s="286" t="n">
        <x:f>SUM('초등학교+병설유치원(7월)'!AI16:'초등학교+병설유치원(7월)'!AM16)</x:f>
        <x:v>0</x:v>
      </x:c>
      <x:c r="AB14" s="286" t="n">
        <x:f>SUM('초등학교+병설유치원(7월)'!AO16:'초등학교+병설유치원(7월)'!AS16)</x:f>
        <x:v>0</x:v>
      </x:c>
      <x:c r="AC14" s="286" t="n">
        <x:f>SUM('초등학교+병설유치원(7월)'!AU16:'초등학교+병설유치원(7월)'!AY16)</x:f>
        <x:v>0</x:v>
      </x:c>
      <x:c r="AD14" s="286" t="n">
        <x:f>SUM('초등학교+병설유치원(7월)'!BA16:'초등학교+병설유치원(7월)'!BE16)</x:f>
        <x:v>0</x:v>
      </x:c>
      <x:c r="AE14" s="286" t="n">
        <x:f>SUM('초등학교+병설유치원(7월)'!BG16:'초등학교+병설유치원(7월)'!BK16)</x:f>
        <x:v>0</x:v>
      </x:c>
      <x:c r="AF14" s="286" t="n">
        <x:f>SUM('초등학교+병설유치원(7월)'!BM16:'초등학교+병설유치원(7월)'!BQ16)</x:f>
        <x:v>23</x:v>
      </x:c>
      <x:c r="AG14" s="286" t="n">
        <x:f>SUM('초등학교+병설유치원(7월)'!BS16:'초등학교+병설유치원(7월)'!BW16)</x:f>
        <x:v>23</x:v>
      </x:c>
      <x:c r="AH14" s="286" t="n">
        <x:f>SUM('초등학교+병설유치원(7월)'!BY16:'초등학교+병설유치원(7월)'!CC16)</x:f>
        <x:v>23</x:v>
      </x:c>
      <x:c r="AI14" s="286" t="n">
        <x:f>SUM('초등학교+병설유치원(8월)'!Q16:'초등학교+병설유치원(8월)'!U16)</x:f>
        <x:v>23</x:v>
      </x:c>
      <x:c r="AJ14" s="286" t="n">
        <x:f>SUM('초등학교+병설유치원(8월)'!W16:'초등학교+병설유치원(8월)'!AA16)</x:f>
        <x:v>23</x:v>
      </x:c>
      <x:c r="AK14" s="286" t="n">
        <x:f>SUM('초등학교+병설유치원(8월)'!AC16:'초등학교+병설유치원(8월)'!AG16)</x:f>
        <x:v>23</x:v>
      </x:c>
      <x:c r="AL14" s="286" t="n">
        <x:f>SUM('초등학교+병설유치원(8월)'!AI16:'초등학교+병설유치원(8월)'!AM16)</x:f>
        <x:v>23</x:v>
      </x:c>
      <x:c r="AM14" s="286" t="n">
        <x:f>SUM('초등학교+병설유치원(8월)'!AO16:'초등학교+병설유치원(8월)'!AS16)</x:f>
        <x:v>23</x:v>
      </x:c>
      <x:c r="AN14" s="286" t="n">
        <x:f>SUM('초등학교+병설유치원(8월)'!AU16:'초등학교+병설유치원(8월)'!AY16)</x:f>
        <x:v>23</x:v>
      </x:c>
      <x:c r="AO14" s="286" t="n">
        <x:f>SUM('초등학교+병설유치원(8월)'!BA16:'초등학교+병설유치원(8월)'!BE16)</x:f>
        <x:v>23</x:v>
      </x:c>
      <x:c r="AP14" s="286" t="n">
        <x:f>SUM('초등학교+병설유치원(8월)'!BG16:'초등학교+병설유치원(8월)'!BK16)</x:f>
        <x:v>23</x:v>
      </x:c>
      <x:c r="AQ14" s="286" t="n">
        <x:f>SUM('초등학교+병설유치원(8월)'!BM16:'초등학교+병설유치원(8월)'!BQ16)</x:f>
        <x:v>23</x:v>
      </x:c>
      <x:c r="AR14" s="286" t="n">
        <x:f>SUM('초등학교+병설유치원(8월)'!BS16:'초등학교+병설유치원(8월)'!BW16)</x:f>
        <x:v>23</x:v>
      </x:c>
      <x:c r="AS14" s="286" t="n">
        <x:f>SUM('초등학교+병설유치원(8월)'!BY16:'초등학교+병설유치원(8월)'!CC16)</x:f>
        <x:v>23</x:v>
      </x:c>
      <x:c r="AT14" s="286" t="n">
        <x:f>SUM('초등학교+병설유치원(8월)'!CE16:'초등학교+병설유치원(8월)'!CI16)</x:f>
        <x:v>23</x:v>
      </x:c>
      <x:c r="AU14" s="286" t="n">
        <x:f>SUM('초등학교+병설유치원(8월)'!CK16:'초등학교+병설유치원(8월)'!CO16)</x:f>
        <x:v>23</x:v>
      </x:c>
      <x:c r="AV14" s="286" t="n">
        <x:f>SUM('초등학교+병설유치원(8월)'!CQ16:'초등학교+병설유치원(8월)'!CU16)</x:f>
        <x:v>23</x:v>
      </x:c>
      <x:c r="AW14" s="286" t="n">
        <x:f>SUM('초등학교+병설유치원(8월)'!CW16:'초등학교+병설유치원(8월)'!DA16)</x:f>
        <x:v>23</x:v>
      </x:c>
      <x:c r="AX14" s="286" t="n">
        <x:f>SUM('초등학교+병설유치원(8월)'!DC16:'초등학교+병설유치원(8월)'!DG16)</x:f>
        <x:v>0</x:v>
      </x:c>
      <x:c r="AY14" s="286" t="n">
        <x:f>SUM('초등학교+병설유치원(8월)'!DI16:'초등학교+병설유치원(8월)'!DM16)</x:f>
        <x:v>0</x:v>
      </x:c>
      <x:c r="AZ14" s="286" t="n">
        <x:f>SUM('초등학교+병설유치원(8월)'!DO16:'초등학교+병설유치원(8월)'!DS16)</x:f>
        <x:v>0</x:v>
      </x:c>
      <x:c r="BA14" s="286" t="n">
        <x:f>SUM('초등학교+병설유치원(8월)'!DU16:'초등학교+병설유치원(8월)'!DY16)</x:f>
        <x:v>0</x:v>
      </x:c>
      <x:c r="BB14" s="286" t="n">
        <x:f>SUM('초등학교+병설유치원(8월)'!EA16:'초등학교+병설유치원(8월)'!EE16)</x:f>
        <x:v>0</x:v>
      </x:c>
    </x:row>
    <x:row r="15" ht="44" customHeight="1">
      <x:c r="A15" s="282" t="n">
        <x:f>IF('초등학교+병설유치원(7월)'!A17="","",'초등학교+병설유치원(7월)'!A17)</x:f>
        <x:v>8</x:v>
      </x:c>
      <x:c r="B15" s="282" t="str">
        <x:v>초등학교</x:v>
      </x:c>
      <x:c r="C15" s="282" t="str">
        <x:f>IF('초등학교+병설유치원(7월)'!B17="","",'초등학교+병설유치원(7월)'!B17)</x:f>
        <x:v>이리동산초</x:v>
      </x:c>
      <x:c r="D15" s="281" t="str">
        <x:f>IF('초등학교+병설유치원(7월)'!C17="","",'초등학교+병설유치원(7월)'!C17)</x:f>
        <x:v>익산시 평동로 23길 46</x:v>
      </x:c>
      <x:c r="E15" s="281" t="str">
        <x:f>IF('초등학교+병설유치원(7월)'!D17="","",'초등학교+병설유치원(7월)'!D17)</x:f>
        <x:v>김서경
(070-7601-7377
010-6678-7273)</x:v>
      </x:c>
      <x:c r="F15" s="281" t="str">
        <x:f>IF('초등학교+병설유치원(7월)'!E17="","",'초등학교+병설유치원(7월)'!E17)</x:f>
        <x:v>한영임
(063-857-2230
010-4329-7650)</x:v>
      </x:c>
      <x:c r="G15" s="284" t="n">
        <x:f>IF('초등학교+병설유치원(7월)'!F17="","",'초등학교+병설유치원(7월)'!F17)</x:f>
        <x:v>28</x:v>
      </x:c>
      <x:c r="H15" s="284" t="n">
        <x:f>IF('초등학교+병설유치원(7월)'!G17="","",'초등학교+병설유치원(7월)'!G17)</x:f>
        <x:v>15</x:v>
      </x:c>
      <x:c r="I15" s="284" t="n">
        <x:f>IF('초등학교+병설유치원(7월)'!H17="","",'초등학교+병설유치원(7월)'!H17)</x:f>
        <x:v>13</x:v>
      </x:c>
      <x:c r="J15" s="284" t="str">
        <x:f>IF('초등학교+병설유치원(7월)'!I17="","",'초등학교+병설유치원(7월)'!I17)</x:f>
      </x:c>
      <x:c r="K15" s="284" t="str">
        <x:f>IF('초등학교+병설유치원(7월)'!J17="","",'초등학교+병설유치원(7월)'!J17)</x:f>
      </x:c>
      <x:c r="L15" s="284" t="str">
        <x:f>IF('초등학교+병설유치원(7월)'!K17="","",'초등학교+병설유치원(7월)'!K17)</x:f>
      </x:c>
      <x:c r="M15" s="285" t="n">
        <x:f>IF('초등학교+병설유치원(7월)'!L17="","",'초등학교+병설유치원(7월)'!L17)</x:f>
        <x:v>0.5208333333333334</x:v>
      </x:c>
      <x:c r="N15" s="281" t="str">
        <x:f>IF('초등학교+병설유치원(7월)'!M17="","",'초등학교+병설유치원(7월)'!M17)</x:f>
        <x:v>7.29.~8.19.
(15일)</x:v>
      </x:c>
      <x:c r="O15" s="281" t="str">
        <x:f>IF('초등학교+병설유치원(7월)'!N17="","",'초등학교+병설유치원(7월)'!N17)</x:f>
      </x:c>
      <x:c r="P15" s="282" t="str">
        <x:f>IF('초등학교+병설유치원(7월)'!O17="","",'초등학교+병설유치원(7월)'!O17)</x:f>
        <x:v>15일</x:v>
      </x:c>
      <x:c r="Q15" s="282" t="str">
        <x:f>IF('초등학교+병설유치원(7월)'!P17="","",'초등학교+병설유치원(7월)'!P17)</x:f>
        <x:v>배식</x:v>
      </x:c>
      <x:c r="R15" s="281" t="str">
        <x:f>IF('초등학교+병설유치원(7월)'!CF17="","",'초등학교+병설유치원(7월)'!CF17)</x:f>
        <x:v>돌봄2반</x:v>
      </x:c>
      <x:c r="S15" s="281" t="str">
        <x:f>IF('초등학교+병설유치원(7월)'!CG17="","",'초등학교+병설유치원(7월)'!CG17)</x:f>
        <x:v>김서경</x:v>
      </x:c>
      <x:c r="T15" s="281" t="str">
        <x:f>IF('초등학교+병설유치원(7월)'!CH17="","",'초등학교+병설유치원(7월)'!CH17)</x:f>
      </x:c>
      <x:c r="U15" s="288" t="n">
        <x:f>SUM(X15:AH15)</x:f>
        <x:v>84</x:v>
      </x:c>
      <x:c r="V15" s="288" t="n">
        <x:f>SUM(AI15:BB15)</x:f>
        <x:v>336</x:v>
      </x:c>
      <x:c r="W15" s="288" t="n">
        <x:f>U15+V15</x:f>
        <x:v>420</x:v>
      </x:c>
      <x:c r="X15" s="286" t="n">
        <x:f>SUM('초등학교+병설유치원(7월)'!Q17:'초등학교+병설유치원(7월)'!U17)</x:f>
        <x:v>0</x:v>
      </x:c>
      <x:c r="Y15" s="286" t="n">
        <x:f>SUM('초등학교+병설유치원(7월)'!W17:'초등학교+병설유치원(7월)'!AA17)</x:f>
        <x:v>0</x:v>
      </x:c>
      <x:c r="Z15" s="286" t="n">
        <x:f>SUM('초등학교+병설유치원(7월)'!AC17:'초등학교+병설유치원(7월)'!AG17)</x:f>
        <x:v>0</x:v>
      </x:c>
      <x:c r="AA15" s="286" t="n">
        <x:f>SUM('초등학교+병설유치원(7월)'!AI17:'초등학교+병설유치원(7월)'!AM17)</x:f>
        <x:v>0</x:v>
      </x:c>
      <x:c r="AB15" s="286" t="n">
        <x:f>SUM('초등학교+병설유치원(7월)'!AO17:'초등학교+병설유치원(7월)'!AS17)</x:f>
        <x:v>0</x:v>
      </x:c>
      <x:c r="AC15" s="286" t="n">
        <x:f>SUM('초등학교+병설유치원(7월)'!AU17:'초등학교+병설유치원(7월)'!AY17)</x:f>
        <x:v>0</x:v>
      </x:c>
      <x:c r="AD15" s="286" t="n">
        <x:f>SUM('초등학교+병설유치원(7월)'!BA17:'초등학교+병설유치원(7월)'!BE17)</x:f>
        <x:v>0</x:v>
      </x:c>
      <x:c r="AE15" s="286" t="n">
        <x:f>SUM('초등학교+병설유치원(7월)'!BG17:'초등학교+병설유치원(7월)'!BK17)</x:f>
        <x:v>0</x:v>
      </x:c>
      <x:c r="AF15" s="286" t="n">
        <x:f>SUM('초등학교+병설유치원(7월)'!BM17:'초등학교+병설유치원(7월)'!BQ17)</x:f>
        <x:v>28</x:v>
      </x:c>
      <x:c r="AG15" s="286" t="n">
        <x:f>SUM('초등학교+병설유치원(7월)'!BS17:'초등학교+병설유치원(7월)'!BW17)</x:f>
        <x:v>28</x:v>
      </x:c>
      <x:c r="AH15" s="286" t="n">
        <x:f>SUM('초등학교+병설유치원(7월)'!BY17:'초등학교+병설유치원(7월)'!CC17)</x:f>
        <x:v>28</x:v>
      </x:c>
      <x:c r="AI15" s="286" t="n">
        <x:f>SUM('초등학교+병설유치원(8월)'!Q17:'초등학교+병설유치원(8월)'!U17)</x:f>
        <x:v>28</x:v>
      </x:c>
      <x:c r="AJ15" s="286" t="n">
        <x:f>SUM('초등학교+병설유치원(8월)'!W17:'초등학교+병설유치원(8월)'!AA17)</x:f>
        <x:v>28</x:v>
      </x:c>
      <x:c r="AK15" s="286" t="n">
        <x:f>SUM('초등학교+병설유치원(8월)'!AC17:'초등학교+병설유치원(8월)'!AG17)</x:f>
        <x:v>28</x:v>
      </x:c>
      <x:c r="AL15" s="286" t="n">
        <x:f>SUM('초등학교+병설유치원(8월)'!AI17:'초등학교+병설유치원(8월)'!AM17)</x:f>
        <x:v>28</x:v>
      </x:c>
      <x:c r="AM15" s="286" t="n">
        <x:f>SUM('초등학교+병설유치원(8월)'!AO17:'초등학교+병설유치원(8월)'!AS17)</x:f>
        <x:v>28</x:v>
      </x:c>
      <x:c r="AN15" s="286" t="n">
        <x:f>SUM('초등학교+병설유치원(8월)'!AU17:'초등학교+병설유치원(8월)'!AY17)</x:f>
        <x:v>28</x:v>
      </x:c>
      <x:c r="AO15" s="286" t="n">
        <x:f>SUM('초등학교+병설유치원(8월)'!BA17:'초등학교+병설유치원(8월)'!BE17)</x:f>
        <x:v>28</x:v>
      </x:c>
      <x:c r="AP15" s="286" t="n">
        <x:f>SUM('초등학교+병설유치원(8월)'!BG17:'초등학교+병설유치원(8월)'!BK17)</x:f>
        <x:v>28</x:v>
      </x:c>
      <x:c r="AQ15" s="286" t="n">
        <x:f>SUM('초등학교+병설유치원(8월)'!BM17:'초등학교+병설유치원(8월)'!BQ17)</x:f>
        <x:v>28</x:v>
      </x:c>
      <x:c r="AR15" s="286" t="n">
        <x:f>SUM('초등학교+병설유치원(8월)'!BS17:'초등학교+병설유치원(8월)'!BW17)</x:f>
        <x:v>28</x:v>
      </x:c>
      <x:c r="AS15" s="286" t="n">
        <x:f>SUM('초등학교+병설유치원(8월)'!BY17:'초등학교+병설유치원(8월)'!CC17)</x:f>
        <x:v>28</x:v>
      </x:c>
      <x:c r="AT15" s="286" t="n">
        <x:f>SUM('초등학교+병설유치원(8월)'!CE17:'초등학교+병설유치원(8월)'!CI17)</x:f>
        <x:v>28</x:v>
      </x:c>
      <x:c r="AU15" s="286" t="n">
        <x:f>SUM('초등학교+병설유치원(8월)'!CK17:'초등학교+병설유치원(8월)'!CO17)</x:f>
        <x:v>0</x:v>
      </x:c>
      <x:c r="AV15" s="286" t="n">
        <x:f>SUM('초등학교+병설유치원(8월)'!CQ17:'초등학교+병설유치원(8월)'!CU17)</x:f>
        <x:v>0</x:v>
      </x:c>
      <x:c r="AW15" s="286" t="n">
        <x:f>SUM('초등학교+병설유치원(8월)'!CW17:'초등학교+병설유치원(8월)'!DA17)</x:f>
        <x:v>0</x:v>
      </x:c>
      <x:c r="AX15" s="286" t="n">
        <x:f>SUM('초등학교+병설유치원(8월)'!DC17:'초등학교+병설유치원(8월)'!DG17)</x:f>
        <x:v>0</x:v>
      </x:c>
      <x:c r="AY15" s="286" t="n">
        <x:f>SUM('초등학교+병설유치원(8월)'!DI17:'초등학교+병설유치원(8월)'!DM17)</x:f>
        <x:v>0</x:v>
      </x:c>
      <x:c r="AZ15" s="286" t="n">
        <x:f>SUM('초등학교+병설유치원(8월)'!DO17:'초등학교+병설유치원(8월)'!DS17)</x:f>
        <x:v>0</x:v>
      </x:c>
      <x:c r="BA15" s="286" t="n">
        <x:f>SUM('초등학교+병설유치원(8월)'!DU17:'초등학교+병설유치원(8월)'!DY17)</x:f>
        <x:v>0</x:v>
      </x:c>
      <x:c r="BB15" s="286" t="n">
        <x:f>SUM('초등학교+병설유치원(8월)'!EA17:'초등학교+병설유치원(8월)'!EE17)</x:f>
        <x:v>0</x:v>
      </x:c>
    </x:row>
    <x:row r="16" ht="44" customHeight="1">
      <x:c r="A16" s="282" t="n">
        <x:f>IF('초등학교+병설유치원(7월)'!A18="","",'초등학교+병설유치원(7월)'!A18)</x:f>
        <x:v>9</x:v>
      </x:c>
      <x:c r="B16" s="282" t="str">
        <x:v>초등학교</x:v>
      </x:c>
      <x:c r="C16" s="282" t="str">
        <x:f>IF('초등학교+병설유치원(7월)'!B18="","",'초등학교+병설유치원(7월)'!B18)</x:f>
        <x:v>이리동초</x:v>
      </x:c>
      <x:c r="D16" s="281" t="str">
        <x:f>IF('초등학교+병설유치원(7월)'!C18="","",'초등학교+병설유치원(7월)'!C18)</x:f>
        <x:v>익산시 동서로 51길 57</x:v>
      </x:c>
      <x:c r="E16" s="281" t="str">
        <x:f>IF('초등학교+병설유치원(7월)'!D18="","",'초등학교+병설유치원(7월)'!D18)</x:f>
        <x:v>이은정
(063-830-6858
010-5605-0107)</x:v>
      </x:c>
      <x:c r="F16" s="281" t="str">
        <x:f>IF('초등학교+병설유치원(7월)'!E18="","",'초등학교+병설유치원(7월)'!E18)</x:f>
        <x:v>문미정
(063-830-6884
010-2431-7903)</x:v>
      </x:c>
      <x:c r="G16" s="284" t="n">
        <x:f>IF('초등학교+병설유치원(7월)'!F18="","",'초등학교+병설유치원(7월)'!F18)</x:f>
        <x:v>33</x:v>
      </x:c>
      <x:c r="H16" s="284" t="n">
        <x:f>IF('초등학교+병설유치원(7월)'!G18="","",'초등학교+병설유치원(7월)'!G18)</x:f>
        <x:v>16</x:v>
      </x:c>
      <x:c r="I16" s="284" t="n">
        <x:f>IF('초등학교+병설유치원(7월)'!H18="","",'초등학교+병설유치원(7월)'!H18)</x:f>
        <x:v>17</x:v>
      </x:c>
      <x:c r="J16" s="284" t="str">
        <x:f>IF('초등학교+병설유치원(7월)'!I18="","",'초등학교+병설유치원(7월)'!I18)</x:f>
      </x:c>
      <x:c r="K16" s="284" t="str">
        <x:f>IF('초등학교+병설유치원(7월)'!J18="","",'초등학교+병설유치원(7월)'!J18)</x:f>
      </x:c>
      <x:c r="L16" s="284" t="str">
        <x:f>IF('초등학교+병설유치원(7월)'!K18="","",'초등학교+병설유치원(7월)'!K18)</x:f>
      </x:c>
      <x:c r="M16" s="285" t="n">
        <x:f>IF('초등학교+병설유치원(7월)'!L18="","",'초등학교+병설유치원(7월)'!L18)</x:f>
        <x:v>0.5</x:v>
      </x:c>
      <x:c r="N16" s="281" t="str">
        <x:f>IF('초등학교+병설유치원(7월)'!M18="","",'초등학교+병설유치원(7월)'!M18)</x:f>
        <x:v>7.30.~8.19.
(13일)</x:v>
      </x:c>
      <x:c r="O16" s="281" t="str">
        <x:f>IF('초등학교+병설유치원(7월)'!N18="","",'초등학교+병설유치원(7월)'!N18)</x:f>
        <x:v>8.18.</x:v>
      </x:c>
      <x:c r="P16" s="282" t="str">
        <x:f>IF('초등학교+병설유치원(7월)'!O18="","",'초등학교+병설유치원(7월)'!O18)</x:f>
        <x:v>13일</x:v>
      </x:c>
      <x:c r="Q16" s="282" t="str">
        <x:f>IF('초등학교+병설유치원(7월)'!P18="","",'초등학교+병설유치원(7월)'!P18)</x:f>
        <x:v>배식</x:v>
      </x:c>
      <x:c r="R16" s="281" t="str">
        <x:f>IF('초등학교+병설유치원(7월)'!CF18="","",'초등학교+병설유치원(7월)'!CF18)</x:f>
        <x:v>돌봄1반</x:v>
      </x:c>
      <x:c r="S16" s="281" t="str">
        <x:f>IF('초등학교+병설유치원(7월)'!CG18="","",'초등학교+병설유치원(7월)'!CG18)</x:f>
        <x:v>이은정</x:v>
      </x:c>
      <x:c r="T16" s="281" t="str">
        <x:f>IF('초등학교+병설유치원(7월)'!CH18="","",'초등학교+병설유치원(7월)'!CH18)</x:f>
      </x:c>
      <x:c r="U16" s="288" t="n">
        <x:f>SUM(X16:AH16)</x:f>
        <x:v>66</x:v>
      </x:c>
      <x:c r="V16" s="288" t="n">
        <x:f>SUM(AI16:BB16)</x:f>
        <x:v>363</x:v>
      </x:c>
      <x:c r="W16" s="288" t="n">
        <x:f>U16+V16</x:f>
        <x:v>429</x:v>
      </x:c>
      <x:c r="X16" s="286" t="n">
        <x:f>SUM('초등학교+병설유치원(7월)'!Q18:'초등학교+병설유치원(7월)'!U18)</x:f>
        <x:v>0</x:v>
      </x:c>
      <x:c r="Y16" s="286" t="n">
        <x:f>SUM('초등학교+병설유치원(7월)'!W18:'초등학교+병설유치원(7월)'!AA18)</x:f>
        <x:v>0</x:v>
      </x:c>
      <x:c r="Z16" s="286" t="n">
        <x:f>SUM('초등학교+병설유치원(7월)'!AC18:'초등학교+병설유치원(7월)'!AG18)</x:f>
        <x:v>0</x:v>
      </x:c>
      <x:c r="AA16" s="286" t="n">
        <x:f>SUM('초등학교+병설유치원(7월)'!AI18:'초등학교+병설유치원(7월)'!AM18)</x:f>
        <x:v>0</x:v>
      </x:c>
      <x:c r="AB16" s="286" t="n">
        <x:f>SUM('초등학교+병설유치원(7월)'!AO18:'초등학교+병설유치원(7월)'!AS18)</x:f>
        <x:v>0</x:v>
      </x:c>
      <x:c r="AC16" s="286" t="n">
        <x:f>SUM('초등학교+병설유치원(7월)'!AU18:'초등학교+병설유치원(7월)'!AY18)</x:f>
        <x:v>0</x:v>
      </x:c>
      <x:c r="AD16" s="286" t="n">
        <x:f>SUM('초등학교+병설유치원(7월)'!BA18:'초등학교+병설유치원(7월)'!BE18)</x:f>
        <x:v>0</x:v>
      </x:c>
      <x:c r="AE16" s="286" t="n">
        <x:f>SUM('초등학교+병설유치원(7월)'!BG18:'초등학교+병설유치원(7월)'!BK18)</x:f>
        <x:v>0</x:v>
      </x:c>
      <x:c r="AF16" s="286" t="n">
        <x:f>SUM('초등학교+병설유치원(7월)'!BM18:'초등학교+병설유치원(7월)'!BQ18)</x:f>
        <x:v>0</x:v>
      </x:c>
      <x:c r="AG16" s="286" t="n">
        <x:f>SUM('초등학교+병설유치원(7월)'!BS18:'초등학교+병설유치원(7월)'!BW18)</x:f>
        <x:v>33</x:v>
      </x:c>
      <x:c r="AH16" s="286" t="n">
        <x:f>SUM('초등학교+병설유치원(7월)'!BY18:'초등학교+병설유치원(7월)'!CC18)</x:f>
        <x:v>33</x:v>
      </x:c>
      <x:c r="AI16" s="286" t="n">
        <x:f>SUM('초등학교+병설유치원(8월)'!Q18:'초등학교+병설유치원(8월)'!U18)</x:f>
        <x:v>33</x:v>
      </x:c>
      <x:c r="AJ16" s="286" t="n">
        <x:f>SUM('초등학교+병설유치원(8월)'!W18:'초등학교+병설유치원(8월)'!AA18)</x:f>
        <x:v>33</x:v>
      </x:c>
      <x:c r="AK16" s="286" t="n">
        <x:f>SUM('초등학교+병설유치원(8월)'!AC18:'초등학교+병설유치원(8월)'!AG18)</x:f>
        <x:v>33</x:v>
      </x:c>
      <x:c r="AL16" s="286" t="n">
        <x:f>SUM('초등학교+병설유치원(8월)'!AI18:'초등학교+병설유치원(8월)'!AM18)</x:f>
        <x:v>33</x:v>
      </x:c>
      <x:c r="AM16" s="286" t="n">
        <x:f>SUM('초등학교+병설유치원(8월)'!AO18:'초등학교+병설유치원(8월)'!AS18)</x:f>
        <x:v>33</x:v>
      </x:c>
      <x:c r="AN16" s="286" t="n">
        <x:f>SUM('초등학교+병설유치원(8월)'!AU18:'초등학교+병설유치원(8월)'!AY18)</x:f>
        <x:v>33</x:v>
      </x:c>
      <x:c r="AO16" s="286" t="n">
        <x:f>SUM('초등학교+병설유치원(8월)'!BA18:'초등학교+병설유치원(8월)'!BE18)</x:f>
        <x:v>33</x:v>
      </x:c>
      <x:c r="AP16" s="286" t="n">
        <x:f>SUM('초등학교+병설유치원(8월)'!BG18:'초등학교+병설유치원(8월)'!BK18)</x:f>
        <x:v>33</x:v>
      </x:c>
      <x:c r="AQ16" s="286" t="n">
        <x:f>SUM('초등학교+병설유치원(8월)'!BM18:'초등학교+병설유치원(8월)'!BQ18)</x:f>
        <x:v>33</x:v>
      </x:c>
      <x:c r="AR16" s="286" t="n">
        <x:f>SUM('초등학교+병설유치원(8월)'!BS18:'초등학교+병설유치원(8월)'!BW18)</x:f>
        <x:v>33</x:v>
      </x:c>
      <x:c r="AS16" s="286" t="n">
        <x:f>SUM('초등학교+병설유치원(8월)'!BY18:'초등학교+병설유치원(8월)'!CC18)</x:f>
        <x:v>0</x:v>
      </x:c>
      <x:c r="AT16" s="286" t="n">
        <x:f>SUM('초등학교+병설유치원(8월)'!CE18:'초등학교+병설유치원(8월)'!CI18)</x:f>
        <x:v>33</x:v>
      </x:c>
      <x:c r="AU16" s="286" t="n">
        <x:f>SUM('초등학교+병설유치원(8월)'!CK18:'초등학교+병설유치원(8월)'!CO18)</x:f>
        <x:v>0</x:v>
      </x:c>
      <x:c r="AV16" s="286" t="n">
        <x:f>SUM('초등학교+병설유치원(8월)'!CQ18:'초등학교+병설유치원(8월)'!CU18)</x:f>
        <x:v>0</x:v>
      </x:c>
      <x:c r="AW16" s="286" t="n">
        <x:f>SUM('초등학교+병설유치원(8월)'!CW18:'초등학교+병설유치원(8월)'!DA18)</x:f>
        <x:v>0</x:v>
      </x:c>
      <x:c r="AX16" s="286" t="n">
        <x:f>SUM('초등학교+병설유치원(8월)'!DC18:'초등학교+병설유치원(8월)'!DG18)</x:f>
        <x:v>0</x:v>
      </x:c>
      <x:c r="AY16" s="286" t="n">
        <x:f>SUM('초등학교+병설유치원(8월)'!DI18:'초등학교+병설유치원(8월)'!DM18)</x:f>
        <x:v>0</x:v>
      </x:c>
      <x:c r="AZ16" s="286" t="n">
        <x:f>SUM('초등학교+병설유치원(8월)'!DO18:'초등학교+병설유치원(8월)'!DS18)</x:f>
        <x:v>0</x:v>
      </x:c>
      <x:c r="BA16" s="286" t="n">
        <x:f>SUM('초등학교+병설유치원(8월)'!DU18:'초등학교+병설유치원(8월)'!DY18)</x:f>
        <x:v>0</x:v>
      </x:c>
      <x:c r="BB16" s="286" t="n">
        <x:f>SUM('초등학교+병설유치원(8월)'!EA18:'초등학교+병설유치원(8월)'!EE18)</x:f>
        <x:v>0</x:v>
      </x:c>
    </x:row>
    <x:row r="17" ht="44" customHeight="1">
      <x:c r="A17" s="282" t="n">
        <x:f>IF('초등학교+병설유치원(7월)'!A19="","",'초등학교+병설유치원(7월)'!A19)</x:f>
        <x:v>10</x:v>
      </x:c>
      <x:c r="B17" s="282" t="str">
        <x:v>초등학교</x:v>
      </x:c>
      <x:c r="C17" s="282" t="str">
        <x:f>IF('초등학교+병설유치원(7월)'!B19="","",'초등학교+병설유치원(7월)'!B19)</x:f>
        <x:v>이리마한초</x:v>
      </x:c>
      <x:c r="D17" s="281" t="str">
        <x:f>IF('초등학교+병설유치원(7월)'!C19="","",'초등학교+병설유치원(7월)'!C19)</x:f>
        <x:v>익산시 무왕로 17길 47</x:v>
      </x:c>
      <x:c r="E17" s="281" t="str">
        <x:f>IF('초등학교+병설유치원(7월)'!D19="","",'초등학교+병설유치원(7월)'!D19)</x:f>
        <x:v>박유숙
(063-830-1247
010-4058-2580)</x:v>
      </x:c>
      <x:c r="F17" s="281" t="str">
        <x:f>IF('초등학교+병설유치원(7월)'!E19="","",'초등학교+병설유치원(7월)'!E19)</x:f>
        <x:v>설경자
(063-830-1246)</x:v>
      </x:c>
      <x:c r="G17" s="284" t="n">
        <x:f>IF('초등학교+병설유치원(7월)'!F19="","",'초등학교+병설유치원(7월)'!F19)</x:f>
        <x:v>37</x:v>
      </x:c>
      <x:c r="H17" s="284" t="n">
        <x:f>IF('초등학교+병설유치원(7월)'!G19="","",'초등학교+병설유치원(7월)'!G19)</x:f>
        <x:v>19</x:v>
      </x:c>
      <x:c r="I17" s="284" t="n">
        <x:f>IF('초등학교+병설유치원(7월)'!H19="","",'초등학교+병설유치원(7월)'!H19)</x:f>
        <x:v>18</x:v>
      </x:c>
      <x:c r="J17" s="284" t="str">
        <x:f>IF('초등학교+병설유치원(7월)'!I19="","",'초등학교+병설유치원(7월)'!I19)</x:f>
      </x:c>
      <x:c r="K17" s="284" t="str">
        <x:f>IF('초등학교+병설유치원(7월)'!J19="","",'초등학교+병설유치원(7월)'!J19)</x:f>
      </x:c>
      <x:c r="L17" s="284" t="str">
        <x:f>IF('초등학교+병설유치원(7월)'!K19="","",'초등학교+병설유치원(7월)'!K19)</x:f>
      </x:c>
      <x:c r="M17" s="285" t="n">
        <x:f>IF('초등학교+병설유치원(7월)'!L19="","",'초등학교+병설유치원(7월)'!L19)</x:f>
        <x:v>0.4861111111111111</x:v>
      </x:c>
      <x:c r="N17" s="281" t="str">
        <x:f>IF('초등학교+병설유치원(7월)'!M19="","",'초등학교+병설유치원(7월)'!M19)</x:f>
        <x:v>7.29.~8.14.
(13일)</x:v>
      </x:c>
      <x:c r="O17" s="281" t="str">
        <x:f>IF('초등학교+병설유치원(7월)'!N19="","",'초등학교+병설유치원(7월)'!N19)</x:f>
      </x:c>
      <x:c r="P17" s="282" t="str">
        <x:f>IF('초등학교+병설유치원(7월)'!O19="","",'초등학교+병설유치원(7월)'!O19)</x:f>
        <x:v>13일</x:v>
      </x:c>
      <x:c r="Q17" s="282" t="str">
        <x:f>IF('초등학교+병설유치원(7월)'!P19="","",'초등학교+병설유치원(7월)'!P19)</x:f>
        <x:v>배식</x:v>
      </x:c>
      <x:c r="R17" s="281" t="str">
        <x:f>IF('초등학교+병설유치원(7월)'!CF19="","",'초등학교+병설유치원(7월)'!CF19)</x:f>
        <x:v>돌봄1반</x:v>
      </x:c>
      <x:c r="S17" s="281" t="str">
        <x:f>IF('초등학교+병설유치원(7월)'!CG19="","",'초등학교+병설유치원(7월)'!CG19)</x:f>
        <x:v>설경자</x:v>
      </x:c>
      <x:c r="T17" s="281" t="str">
        <x:f>IF('초등학교+병설유치원(7월)'!CH19="","",'초등학교+병설유치원(7월)'!CH19)</x:f>
      </x:c>
      <x:c r="U17" s="288" t="n">
        <x:f>SUM(X17:AH17)</x:f>
        <x:v>111</x:v>
      </x:c>
      <x:c r="V17" s="288" t="n">
        <x:f>SUM(AI17:BB17)</x:f>
        <x:v>370</x:v>
      </x:c>
      <x:c r="W17" s="288" t="n">
        <x:f>U17+V17</x:f>
        <x:v>481</x:v>
      </x:c>
      <x:c r="X17" s="286" t="n">
        <x:f>SUM('초등학교+병설유치원(7월)'!Q19:'초등학교+병설유치원(7월)'!U19)</x:f>
        <x:v>0</x:v>
      </x:c>
      <x:c r="Y17" s="286" t="n">
        <x:f>SUM('초등학교+병설유치원(7월)'!W19:'초등학교+병설유치원(7월)'!AA19)</x:f>
        <x:v>0</x:v>
      </x:c>
      <x:c r="Z17" s="286" t="n">
        <x:f>SUM('초등학교+병설유치원(7월)'!AC19:'초등학교+병설유치원(7월)'!AG19)</x:f>
        <x:v>0</x:v>
      </x:c>
      <x:c r="AA17" s="286" t="n">
        <x:f>SUM('초등학교+병설유치원(7월)'!AI19:'초등학교+병설유치원(7월)'!AM19)</x:f>
        <x:v>0</x:v>
      </x:c>
      <x:c r="AB17" s="286" t="n">
        <x:f>SUM('초등학교+병설유치원(7월)'!AO19:'초등학교+병설유치원(7월)'!AS19)</x:f>
        <x:v>0</x:v>
      </x:c>
      <x:c r="AC17" s="286" t="n">
        <x:f>SUM('초등학교+병설유치원(7월)'!AU19:'초등학교+병설유치원(7월)'!AY19)</x:f>
        <x:v>0</x:v>
      </x:c>
      <x:c r="AD17" s="286" t="n">
        <x:f>SUM('초등학교+병설유치원(7월)'!BA19:'초등학교+병설유치원(7월)'!BE19)</x:f>
        <x:v>0</x:v>
      </x:c>
      <x:c r="AE17" s="286" t="n">
        <x:f>SUM('초등학교+병설유치원(7월)'!BG19:'초등학교+병설유치원(7월)'!BK19)</x:f>
        <x:v>0</x:v>
      </x:c>
      <x:c r="AF17" s="286" t="n">
        <x:f>SUM('초등학교+병설유치원(7월)'!BM19:'초등학교+병설유치원(7월)'!BQ19)</x:f>
        <x:v>37</x:v>
      </x:c>
      <x:c r="AG17" s="286" t="n">
        <x:f>SUM('초등학교+병설유치원(7월)'!BS19:'초등학교+병설유치원(7월)'!BW19)</x:f>
        <x:v>37</x:v>
      </x:c>
      <x:c r="AH17" s="286" t="n">
        <x:f>SUM('초등학교+병설유치원(7월)'!BY19:'초등학교+병설유치원(7월)'!CC19)</x:f>
        <x:v>37</x:v>
      </x:c>
      <x:c r="AI17" s="286" t="n">
        <x:f>SUM('초등학교+병설유치원(8월)'!Q19:'초등학교+병설유치원(8월)'!U19)</x:f>
        <x:v>37</x:v>
      </x:c>
      <x:c r="AJ17" s="286" t="n">
        <x:f>SUM('초등학교+병설유치원(8월)'!W19:'초등학교+병설유치원(8월)'!AA19)</x:f>
        <x:v>37</x:v>
      </x:c>
      <x:c r="AK17" s="286" t="n">
        <x:f>SUM('초등학교+병설유치원(8월)'!AC19:'초등학교+병설유치원(8월)'!AG19)</x:f>
        <x:v>37</x:v>
      </x:c>
      <x:c r="AL17" s="286" t="n">
        <x:f>SUM('초등학교+병설유치원(8월)'!AI19:'초등학교+병설유치원(8월)'!AM19)</x:f>
        <x:v>37</x:v>
      </x:c>
      <x:c r="AM17" s="286" t="n">
        <x:f>SUM('초등학교+병설유치원(8월)'!AO19:'초등학교+병설유치원(8월)'!AS19)</x:f>
        <x:v>37</x:v>
      </x:c>
      <x:c r="AN17" s="286" t="n">
        <x:f>SUM('초등학교+병설유치원(8월)'!AU19:'초등학교+병설유치원(8월)'!AY19)</x:f>
        <x:v>37</x:v>
      </x:c>
      <x:c r="AO17" s="286" t="n">
        <x:f>SUM('초등학교+병설유치원(8월)'!BA19:'초등학교+병설유치원(8월)'!BE19)</x:f>
        <x:v>37</x:v>
      </x:c>
      <x:c r="AP17" s="286" t="n">
        <x:f>SUM('초등학교+병설유치원(8월)'!BG19:'초등학교+병설유치원(8월)'!BK19)</x:f>
        <x:v>37</x:v>
      </x:c>
      <x:c r="AQ17" s="286" t="n">
        <x:f>SUM('초등학교+병설유치원(8월)'!BM19:'초등학교+병설유치원(8월)'!BQ19)</x:f>
        <x:v>37</x:v>
      </x:c>
      <x:c r="AR17" s="286" t="n">
        <x:f>SUM('초등학교+병설유치원(8월)'!BS19:'초등학교+병설유치원(8월)'!BW19)</x:f>
        <x:v>37</x:v>
      </x:c>
      <x:c r="AS17" s="286" t="n">
        <x:f>SUM('초등학교+병설유치원(8월)'!BY19:'초등학교+병설유치원(8월)'!CC19)</x:f>
        <x:v>0</x:v>
      </x:c>
      <x:c r="AT17" s="286" t="n">
        <x:f>SUM('초등학교+병설유치원(8월)'!CE19:'초등학교+병설유치원(8월)'!CI19)</x:f>
        <x:v>0</x:v>
      </x:c>
      <x:c r="AU17" s="286" t="n">
        <x:f>SUM('초등학교+병설유치원(8월)'!CK19:'초등학교+병설유치원(8월)'!CO19)</x:f>
        <x:v>0</x:v>
      </x:c>
      <x:c r="AV17" s="286" t="n">
        <x:f>SUM('초등학교+병설유치원(8월)'!CQ19:'초등학교+병설유치원(8월)'!CU19)</x:f>
        <x:v>0</x:v>
      </x:c>
      <x:c r="AW17" s="286" t="n">
        <x:f>SUM('초등학교+병설유치원(8월)'!CW19:'초등학교+병설유치원(8월)'!DA19)</x:f>
        <x:v>0</x:v>
      </x:c>
      <x:c r="AX17" s="286" t="n">
        <x:f>SUM('초등학교+병설유치원(8월)'!DC19:'초등학교+병설유치원(8월)'!DG19)</x:f>
        <x:v>0</x:v>
      </x:c>
      <x:c r="AY17" s="286" t="n">
        <x:f>SUM('초등학교+병설유치원(8월)'!DI19:'초등학교+병설유치원(8월)'!DM19)</x:f>
        <x:v>0</x:v>
      </x:c>
      <x:c r="AZ17" s="286" t="n">
        <x:f>SUM('초등학교+병설유치원(8월)'!DO19:'초등학교+병설유치원(8월)'!DS19)</x:f>
        <x:v>0</x:v>
      </x:c>
      <x:c r="BA17" s="286" t="n">
        <x:f>SUM('초등학교+병설유치원(8월)'!DU19:'초등학교+병설유치원(8월)'!DY19)</x:f>
        <x:v>0</x:v>
      </x:c>
      <x:c r="BB17" s="286" t="n">
        <x:f>SUM('초등학교+병설유치원(8월)'!EA19:'초등학교+병설유치원(8월)'!EE19)</x:f>
        <x:v>0</x:v>
      </x:c>
    </x:row>
    <x:row r="18" ht="44" customHeight="1">
      <x:c r="A18" s="282" t="str">
        <x:f>IF('초등학교+병설유치원(7월)'!A20="","",'초등학교+병설유치원(7월)'!A20)</x:f>
        <x:v>10-1</x:v>
      </x:c>
      <x:c r="B18" s="282" t="str">
        <x:v>병설유치원</x:v>
      </x:c>
      <x:c r="C18" s="282" t="str">
        <x:f>IF('초등학교+병설유치원(7월)'!B20="","",'초등학교+병설유치원(7월)'!B20)</x:f>
        <x:v>이리마한초 병설유치원</x:v>
      </x:c>
      <x:c r="D18" s="281" t="str">
        <x:f>IF('초등학교+병설유치원(7월)'!C20="","",'초등학교+병설유치원(7월)'!C20)</x:f>
        <x:v>익산시 무왕로17길 47</x:v>
      </x:c>
      <x:c r="E18" s="281" t="str">
        <x:f>IF('초등학교+병설유치원(7월)'!D20="","",'초등학교+병설유치원(7월)'!D20)</x:f>
        <x:v>(063-831-6148
010-5105-1259)</x:v>
      </x:c>
      <x:c r="F18" s="281" t="str">
        <x:f>IF('초등학교+병설유치원(7월)'!E20="","",'초등학교+병설유치원(7월)'!E20)</x:f>
        <x:v>심신애
(010-5624-1606)</x:v>
      </x:c>
      <x:c r="G18" s="284" t="n">
        <x:f>IF('초등학교+병설유치원(7월)'!F20="","",'초등학교+병설유치원(7월)'!F20)</x:f>
        <x:v>4</x:v>
      </x:c>
      <x:c r="H18" s="284" t="n">
        <x:f>IF('초등학교+병설유치원(7월)'!G20="","",'초등학교+병설유치원(7월)'!G20)</x:f>
        <x:v>4</x:v>
      </x:c>
      <x:c r="I18" s="284" t="str">
        <x:f>IF('초등학교+병설유치원(7월)'!H20="","",'초등학교+병설유치원(7월)'!H20)</x:f>
      </x:c>
      <x:c r="J18" s="284" t="str">
        <x:f>IF('초등학교+병설유치원(7월)'!I20="","",'초등학교+병설유치원(7월)'!I20)</x:f>
      </x:c>
      <x:c r="K18" s="284" t="str">
        <x:f>IF('초등학교+병설유치원(7월)'!J20="","",'초등학교+병설유치원(7월)'!J20)</x:f>
      </x:c>
      <x:c r="L18" s="284" t="str">
        <x:f>IF('초등학교+병설유치원(7월)'!K20="","",'초등학교+병설유치원(7월)'!K20)</x:f>
      </x:c>
      <x:c r="M18" s="285" t="n">
        <x:f>IF('초등학교+병설유치원(7월)'!L20="","",'초등학교+병설유치원(7월)'!L20)</x:f>
        <x:v>0.5</x:v>
      </x:c>
      <x:c r="N18" s="281" t="str">
        <x:f>IF('초등학교+병설유치원(7월)'!M20="","",'초등학교+병설유치원(7월)'!M20)</x:f>
        <x:v>7.20.~24./ 8.3.~21.(19일)</x:v>
      </x:c>
      <x:c r="O18" s="281" t="str">
        <x:f>IF('초등학교+병설유치원(7월)'!N20="","",'초등학교+병설유치원(7월)'!N20)</x:f>
        <x:v>7.27.~31.(5일)</x:v>
      </x:c>
      <x:c r="P18" s="282" t="str">
        <x:f>IF('초등학교+병설유치원(7월)'!O20="","",'초등학교+병설유치원(7월)'!O20)</x:f>
        <x:v>19일</x:v>
      </x:c>
      <x:c r="Q18" s="282" t="str">
        <x:f>IF('초등학교+병설유치원(7월)'!P20="","",'초등학교+병설유치원(7월)'!P20)</x:f>
        <x:v>도시락</x:v>
      </x:c>
      <x:c r="R18" s="281" t="str">
        <x:f>IF('초등학교+병설유치원(7월)'!CF20="","",'초등학교+병설유치원(7월)'!CF20)</x:f>
        <x:v>간식준비실</x:v>
      </x:c>
      <x:c r="S18" s="281" t="str">
        <x:f>IF('초등학교+병설유치원(7월)'!CG20="","",'초등학교+병설유치원(7월)'!CG20)</x:f>
        <x:v>심신애</x:v>
      </x:c>
      <x:c r="T18" s="281" t="str">
        <x:f>IF('초등학교+병설유치원(7월)'!CH20="","",'초등학교+병설유치원(7월)'!CH20)</x:f>
      </x:c>
      <x:c r="U18" s="288" t="n">
        <x:f>SUM(X18:AH18)</x:f>
        <x:v>25</x:v>
      </x:c>
      <x:c r="V18" s="288" t="n">
        <x:f>SUM(AI18:BB18)</x:f>
        <x:v>60</x:v>
      </x:c>
      <x:c r="W18" s="288" t="n">
        <x:f>U18+V18</x:f>
        <x:v>85</x:v>
      </x:c>
      <x:c r="X18" s="286" t="n">
        <x:f>SUM('초등학교+병설유치원(7월)'!Q20:'초등학교+병설유치원(7월)'!U20)</x:f>
        <x:v>0</x:v>
      </x:c>
      <x:c r="Y18" s="286" t="n">
        <x:f>SUM('초등학교+병설유치원(7월)'!W20:'초등학교+병설유치원(7월)'!AA20)</x:f>
        <x:v>5</x:v>
      </x:c>
      <x:c r="Z18" s="286" t="n">
        <x:f>SUM('초등학교+병설유치원(7월)'!AC20:'초등학교+병설유치원(7월)'!AG20)</x:f>
        <x:v>5</x:v>
      </x:c>
      <x:c r="AA18" s="286" t="n">
        <x:f>SUM('초등학교+병설유치원(7월)'!AI20:'초등학교+병설유치원(7월)'!AM20)</x:f>
        <x:v>5</x:v>
      </x:c>
      <x:c r="AB18" s="286" t="n">
        <x:f>SUM('초등학교+병설유치원(7월)'!AO20:'초등학교+병설유치원(7월)'!AS20)</x:f>
        <x:v>5</x:v>
      </x:c>
      <x:c r="AC18" s="286" t="n">
        <x:f>SUM('초등학교+병설유치원(7월)'!AU20:'초등학교+병설유치원(7월)'!AY20)</x:f>
        <x:v>5</x:v>
      </x:c>
      <x:c r="AD18" s="286" t="n">
        <x:f>SUM('초등학교+병설유치원(7월)'!BA20:'초등학교+병설유치원(7월)'!BE20)</x:f>
        <x:v>0</x:v>
      </x:c>
      <x:c r="AE18" s="286" t="n">
        <x:f>SUM('초등학교+병설유치원(7월)'!BG20:'초등학교+병설유치원(7월)'!BK20)</x:f>
        <x:v>0</x:v>
      </x:c>
      <x:c r="AF18" s="286" t="n">
        <x:f>SUM('초등학교+병설유치원(7월)'!BM20:'초등학교+병설유치원(7월)'!BQ20)</x:f>
        <x:v>0</x:v>
      </x:c>
      <x:c r="AG18" s="286" t="n">
        <x:f>SUM('초등학교+병설유치원(7월)'!BS20:'초등학교+병설유치원(7월)'!BW20)</x:f>
        <x:v>0</x:v>
      </x:c>
      <x:c r="AH18" s="286" t="n">
        <x:f>SUM('초등학교+병설유치원(7월)'!BY20:'초등학교+병설유치원(7월)'!CC20)</x:f>
        <x:v>0</x:v>
      </x:c>
      <x:c r="AI18" s="286" t="n">
        <x:f>SUM('초등학교+병설유치원(8월)'!Q20:'초등학교+병설유치원(8월)'!U20)</x:f>
        <x:v>4</x:v>
      </x:c>
      <x:c r="AJ18" s="286" t="n">
        <x:f>SUM('초등학교+병설유치원(8월)'!W20:'초등학교+병설유치원(8월)'!AA20)</x:f>
        <x:v>4</x:v>
      </x:c>
      <x:c r="AK18" s="286" t="n">
        <x:f>SUM('초등학교+병설유치원(8월)'!AC20:'초등학교+병설유치원(8월)'!AG20)</x:f>
        <x:v>4</x:v>
      </x:c>
      <x:c r="AL18" s="286" t="n">
        <x:f>SUM('초등학교+병설유치원(8월)'!AI20:'초등학교+병설유치원(8월)'!AM20)</x:f>
        <x:v>4</x:v>
      </x:c>
      <x:c r="AM18" s="286" t="n">
        <x:f>SUM('초등학교+병설유치원(8월)'!AO20:'초등학교+병설유치원(8월)'!AS20)</x:f>
        <x:v>4</x:v>
      </x:c>
      <x:c r="AN18" s="286" t="n">
        <x:f>SUM('초등학교+병설유치원(8월)'!AU20:'초등학교+병설유치원(8월)'!AY20)</x:f>
        <x:v>4</x:v>
      </x:c>
      <x:c r="AO18" s="286" t="n">
        <x:f>SUM('초등학교+병설유치원(8월)'!BA20:'초등학교+병설유치원(8월)'!BE20)</x:f>
        <x:v>4</x:v>
      </x:c>
      <x:c r="AP18" s="286" t="n">
        <x:f>SUM('초등학교+병설유치원(8월)'!BG20:'초등학교+병설유치원(8월)'!BK20)</x:f>
        <x:v>4</x:v>
      </x:c>
      <x:c r="AQ18" s="286" t="n">
        <x:f>SUM('초등학교+병설유치원(8월)'!BM20:'초등학교+병설유치원(8월)'!BQ20)</x:f>
        <x:v>4</x:v>
      </x:c>
      <x:c r="AR18" s="286" t="n">
        <x:f>SUM('초등학교+병설유치원(8월)'!BS20:'초등학교+병설유치원(8월)'!BW20)</x:f>
        <x:v>4</x:v>
      </x:c>
      <x:c r="AS18" s="286" t="n">
        <x:f>SUM('초등학교+병설유치원(8월)'!BY20:'초등학교+병설유치원(8월)'!CC20)</x:f>
        <x:v>5</x:v>
      </x:c>
      <x:c r="AT18" s="286" t="n">
        <x:f>SUM('초등학교+병설유치원(8월)'!CE20:'초등학교+병설유치원(8월)'!CI20)</x:f>
        <x:v>5</x:v>
      </x:c>
      <x:c r="AU18" s="286" t="n">
        <x:f>SUM('초등학교+병설유치원(8월)'!CK20:'초등학교+병설유치원(8월)'!CO20)</x:f>
        <x:v>5</x:v>
      </x:c>
      <x:c r="AV18" s="286" t="n">
        <x:f>SUM('초등학교+병설유치원(8월)'!CQ20:'초등학교+병설유치원(8월)'!CU20)</x:f>
        <x:v>5</x:v>
      </x:c>
      <x:c r="AW18" s="286" t="n">
        <x:f>SUM('초등학교+병설유치원(8월)'!CW20:'초등학교+병설유치원(8월)'!DA20)</x:f>
        <x:v>0</x:v>
      </x:c>
      <x:c r="AX18" s="286" t="n">
        <x:f>SUM('초등학교+병설유치원(8월)'!DC20:'초등학교+병설유치원(8월)'!DG20)</x:f>
        <x:v>0</x:v>
      </x:c>
      <x:c r="AY18" s="286" t="n">
        <x:f>SUM('초등학교+병설유치원(8월)'!DI20:'초등학교+병설유치원(8월)'!DM20)</x:f>
        <x:v>0</x:v>
      </x:c>
      <x:c r="AZ18" s="286" t="n">
        <x:f>SUM('초등학교+병설유치원(8월)'!DO20:'초등학교+병설유치원(8월)'!DS20)</x:f>
        <x:v>0</x:v>
      </x:c>
      <x:c r="BA18" s="286" t="n">
        <x:f>SUM('초등학교+병설유치원(8월)'!DU20:'초등학교+병설유치원(8월)'!DY20)</x:f>
        <x:v>0</x:v>
      </x:c>
      <x:c r="BB18" s="286" t="n">
        <x:f>SUM('초등학교+병설유치원(8월)'!EA20:'초등학교+병설유치원(8월)'!EE20)</x:f>
        <x:v>0</x:v>
      </x:c>
    </x:row>
    <x:row r="19" ht="44" customHeight="1">
      <x:c r="A19" s="282" t="n">
        <x:f>IF('초등학교+병설유치원(7월)'!A21="","",'초등학교+병설유치원(7월)'!A21)</x:f>
        <x:v>11</x:v>
      </x:c>
      <x:c r="B19" s="282" t="str">
        <x:v>초등학교</x:v>
      </x:c>
      <x:c r="C19" s="282" t="str">
        <x:f>IF('초등학교+병설유치원(7월)'!B21="","",'초등학교+병설유치원(7월)'!B21)</x:f>
        <x:v>이리모현초</x:v>
      </x:c>
      <x:c r="D19" s="281" t="str">
        <x:f>IF('초등학교+병설유치원(7월)'!C21="","",'초등학교+병설유치원(7월)'!C21)</x:f>
        <x:v>익산시 배산로 14길 2-4</x:v>
      </x:c>
      <x:c r="E19" s="281" t="str">
        <x:f>IF('초등학교+병설유치원(7월)'!D21="","",'초등학교+병설유치원(7월)'!D21)</x:f>
        <x:v>송인희
(070-4811-5581
010-2005-1857)</x:v>
      </x:c>
      <x:c r="F19" s="281" t="str">
        <x:f>IF('초등학교+병설유치원(7월)'!E21="","",'초등학교+병설유치원(7월)'!E21)</x:f>
        <x:v>박은진
(070-4811-5400
010-2604-3020)</x:v>
      </x:c>
      <x:c r="G19" s="284" t="n">
        <x:f>IF('초등학교+병설유치원(7월)'!F21="","",'초등학교+병설유치원(7월)'!F21)</x:f>
        <x:v>78</x:v>
      </x:c>
      <x:c r="H19" s="284" t="n">
        <x:f>IF('초등학교+병설유치원(7월)'!G21="","",'초등학교+병설유치원(7월)'!G21)</x:f>
        <x:v>20</x:v>
      </x:c>
      <x:c r="I19" s="284" t="n">
        <x:f>IF('초등학교+병설유치원(7월)'!H21="","",'초등학교+병설유치원(7월)'!H21)</x:f>
        <x:v>20</x:v>
      </x:c>
      <x:c r="J19" s="284" t="n">
        <x:f>IF('초등학교+병설유치원(7월)'!I21="","",'초등학교+병설유치원(7월)'!I21)</x:f>
        <x:v>18</x:v>
      </x:c>
      <x:c r="K19" s="284" t="n">
        <x:f>IF('초등학교+병설유치원(7월)'!J21="","",'초등학교+병설유치원(7월)'!J21)</x:f>
        <x:v>20</x:v>
      </x:c>
      <x:c r="L19" s="284" t="str">
        <x:f>IF('초등학교+병설유치원(7월)'!K21="","",'초등학교+병설유치원(7월)'!K21)</x:f>
      </x:c>
      <x:c r="M19" s="285" t="n">
        <x:f>IF('초등학교+병설유치원(7월)'!L21="","",'초등학교+병설유치원(7월)'!L21)</x:f>
        <x:v>0.4861111111111111</x:v>
      </x:c>
      <x:c r="N19" s="281" t="str">
        <x:f>IF('초등학교+병설유치원(7월)'!M21="","",'초등학교+병설유치원(7월)'!M21)</x:f>
        <x:v>7.28.~8.14.
(14일)</x:v>
      </x:c>
      <x:c r="O19" s="281" t="str">
        <x:f>IF('초등학교+병설유치원(7월)'!N21="","",'초등학교+병설유치원(7월)'!N21)</x:f>
      </x:c>
      <x:c r="P19" s="282" t="str">
        <x:f>IF('초등학교+병설유치원(7월)'!O21="","",'초등학교+병설유치원(7월)'!O21)</x:f>
        <x:v>14일</x:v>
      </x:c>
      <x:c r="Q19" s="282" t="str">
        <x:f>IF('초등학교+병설유치원(7월)'!P21="","",'초등학교+병설유치원(7월)'!P21)</x:f>
        <x:v>배식</x:v>
      </x:c>
      <x:c r="R19" s="281" t="str">
        <x:f>IF('초등학교+병설유치원(7월)'!CF21="","",'초등학교+병설유치원(7월)'!CF21)</x:f>
        <x:v>돌봄1반</x:v>
      </x:c>
      <x:c r="S19" s="281" t="str">
        <x:f>IF('초등학교+병설유치원(7월)'!CG21="","",'초등학교+병설유치원(7월)'!CG21)</x:f>
        <x:v>송인희</x:v>
      </x:c>
      <x:c r="T19" s="281" t="str">
        <x:f>IF('초등학교+병설유치원(7월)'!CH21="","",'초등학교+병설유치원(7월)'!CH21)</x:f>
      </x:c>
      <x:c r="U19" s="288" t="n">
        <x:f>SUM(X19:AH19)</x:f>
        <x:v>312</x:v>
      </x:c>
      <x:c r="V19" s="288" t="n">
        <x:f>SUM(AI19:BB19)</x:f>
        <x:v>780</x:v>
      </x:c>
      <x:c r="W19" s="288" t="n">
        <x:f>U19+V19</x:f>
        <x:v>1092</x:v>
      </x:c>
      <x:c r="X19" s="286" t="n">
        <x:f>SUM('초등학교+병설유치원(7월)'!Q21:'초등학교+병설유치원(7월)'!U21)</x:f>
        <x:v>0</x:v>
      </x:c>
      <x:c r="Y19" s="286" t="n">
        <x:f>SUM('초등학교+병설유치원(7월)'!W21:'초등학교+병설유치원(7월)'!AA21)</x:f>
        <x:v>0</x:v>
      </x:c>
      <x:c r="Z19" s="286" t="n">
        <x:f>SUM('초등학교+병설유치원(7월)'!AC21:'초등학교+병설유치원(7월)'!AG21)</x:f>
        <x:v>0</x:v>
      </x:c>
      <x:c r="AA19" s="286" t="n">
        <x:f>SUM('초등학교+병설유치원(7월)'!AI21:'초등학교+병설유치원(7월)'!AM21)</x:f>
        <x:v>0</x:v>
      </x:c>
      <x:c r="AB19" s="286" t="n">
        <x:f>SUM('초등학교+병설유치원(7월)'!AO21:'초등학교+병설유치원(7월)'!AS21)</x:f>
        <x:v>0</x:v>
      </x:c>
      <x:c r="AC19" s="286" t="n">
        <x:f>SUM('초등학교+병설유치원(7월)'!AU21:'초등학교+병설유치원(7월)'!AY21)</x:f>
        <x:v>0</x:v>
      </x:c>
      <x:c r="AD19" s="286" t="n">
        <x:f>SUM('초등학교+병설유치원(7월)'!BA21:'초등학교+병설유치원(7월)'!BE21)</x:f>
        <x:v>0</x:v>
      </x:c>
      <x:c r="AE19" s="286" t="n">
        <x:f>SUM('초등학교+병설유치원(7월)'!BG21:'초등학교+병설유치원(7월)'!BK21)</x:f>
        <x:v>78</x:v>
      </x:c>
      <x:c r="AF19" s="286" t="n">
        <x:f>SUM('초등학교+병설유치원(7월)'!BM21:'초등학교+병설유치원(7월)'!BQ21)</x:f>
        <x:v>78</x:v>
      </x:c>
      <x:c r="AG19" s="286" t="n">
        <x:f>SUM('초등학교+병설유치원(7월)'!BS21:'초등학교+병설유치원(7월)'!BW21)</x:f>
        <x:v>78</x:v>
      </x:c>
      <x:c r="AH19" s="286" t="n">
        <x:f>SUM('초등학교+병설유치원(7월)'!BY21:'초등학교+병설유치원(7월)'!CC21)</x:f>
        <x:v>78</x:v>
      </x:c>
      <x:c r="AI19" s="286" t="n">
        <x:f>SUM('초등학교+병설유치원(8월)'!Q21:'초등학교+병설유치원(8월)'!U21)</x:f>
        <x:v>78</x:v>
      </x:c>
      <x:c r="AJ19" s="286" t="n">
        <x:f>SUM('초등학교+병설유치원(8월)'!W21:'초등학교+병설유치원(8월)'!AA21)</x:f>
        <x:v>78</x:v>
      </x:c>
      <x:c r="AK19" s="286" t="n">
        <x:f>SUM('초등학교+병설유치원(8월)'!AC21:'초등학교+병설유치원(8월)'!AG21)</x:f>
        <x:v>78</x:v>
      </x:c>
      <x:c r="AL19" s="286" t="n">
        <x:f>SUM('초등학교+병설유치원(8월)'!AI21:'초등학교+병설유치원(8월)'!AM21)</x:f>
        <x:v>78</x:v>
      </x:c>
      <x:c r="AM19" s="286" t="n">
        <x:f>SUM('초등학교+병설유치원(8월)'!AO21:'초등학교+병설유치원(8월)'!AS21)</x:f>
        <x:v>78</x:v>
      </x:c>
      <x:c r="AN19" s="286" t="n">
        <x:f>SUM('초등학교+병설유치원(8월)'!AU21:'초등학교+병설유치원(8월)'!AY21)</x:f>
        <x:v>78</x:v>
      </x:c>
      <x:c r="AO19" s="286" t="n">
        <x:f>SUM('초등학교+병설유치원(8월)'!BA21:'초등학교+병설유치원(8월)'!BE21)</x:f>
        <x:v>78</x:v>
      </x:c>
      <x:c r="AP19" s="286" t="n">
        <x:f>SUM('초등학교+병설유치원(8월)'!BG21:'초등학교+병설유치원(8월)'!BK21)</x:f>
        <x:v>78</x:v>
      </x:c>
      <x:c r="AQ19" s="286" t="n">
        <x:f>SUM('초등학교+병설유치원(8월)'!BM21:'초등학교+병설유치원(8월)'!BQ21)</x:f>
        <x:v>78</x:v>
      </x:c>
      <x:c r="AR19" s="286" t="n">
        <x:f>SUM('초등학교+병설유치원(8월)'!BS21:'초등학교+병설유치원(8월)'!BW21)</x:f>
        <x:v>78</x:v>
      </x:c>
      <x:c r="AS19" s="286" t="n">
        <x:f>SUM('초등학교+병설유치원(8월)'!BY21:'초등학교+병설유치원(8월)'!CC21)</x:f>
        <x:v>0</x:v>
      </x:c>
      <x:c r="AT19" s="286" t="n">
        <x:f>SUM('초등학교+병설유치원(8월)'!CE21:'초등학교+병설유치원(8월)'!CI21)</x:f>
        <x:v>0</x:v>
      </x:c>
      <x:c r="AU19" s="286" t="n">
        <x:f>SUM('초등학교+병설유치원(8월)'!CK21:'초등학교+병설유치원(8월)'!CO21)</x:f>
        <x:v>0</x:v>
      </x:c>
      <x:c r="AV19" s="286" t="n">
        <x:f>SUM('초등학교+병설유치원(8월)'!CQ21:'초등학교+병설유치원(8월)'!CU21)</x:f>
        <x:v>0</x:v>
      </x:c>
      <x:c r="AW19" s="286" t="n">
        <x:f>SUM('초등학교+병설유치원(8월)'!CW21:'초등학교+병설유치원(8월)'!DA21)</x:f>
        <x:v>0</x:v>
      </x:c>
      <x:c r="AX19" s="286" t="n">
        <x:f>SUM('초등학교+병설유치원(8월)'!DC21:'초등학교+병설유치원(8월)'!DG21)</x:f>
        <x:v>0</x:v>
      </x:c>
      <x:c r="AY19" s="286" t="n">
        <x:f>SUM('초등학교+병설유치원(8월)'!DI21:'초등학교+병설유치원(8월)'!DM21)</x:f>
        <x:v>0</x:v>
      </x:c>
      <x:c r="AZ19" s="286" t="n">
        <x:f>SUM('초등학교+병설유치원(8월)'!DO21:'초등학교+병설유치원(8월)'!DS21)</x:f>
        <x:v>0</x:v>
      </x:c>
      <x:c r="BA19" s="286" t="n">
        <x:f>SUM('초등학교+병설유치원(8월)'!DU21:'초등학교+병설유치원(8월)'!DY21)</x:f>
        <x:v>0</x:v>
      </x:c>
      <x:c r="BB19" s="286" t="n">
        <x:f>SUM('초등학교+병설유치원(8월)'!EA21:'초등학교+병설유치원(8월)'!EE21)</x:f>
        <x:v>0</x:v>
      </x:c>
    </x:row>
    <x:row r="20" ht="44" customHeight="1">
      <x:c r="A20" s="282" t="n">
        <x:f>IF('초등학교+병설유치원(7월)'!A22="","",'초등학교+병설유치원(7월)'!A22)</x:f>
        <x:v>12</x:v>
      </x:c>
      <x:c r="B20" s="282" t="str">
        <x:v>초등학교</x:v>
      </x:c>
      <x:c r="C20" s="282" t="str">
        <x:f>IF('초등학교+병설유치원(7월)'!B22="","",'초등학교+병설유치원(7월)'!B22)</x:f>
        <x:v>이리백제초</x:v>
      </x:c>
      <x:c r="D20" s="281" t="str">
        <x:f>IF('초등학교+병설유치원(7월)'!C22="","",'초등학교+병설유치원(7월)'!C22)</x:f>
        <x:v>익산시 궁동로 29</x:v>
      </x:c>
      <x:c r="E20" s="281" t="str">
        <x:f>IF('초등학교+병설유치원(7월)'!D22="","",'초등학교+병설유치원(7월)'!D22)</x:f>
        <x:v>김영화
(070-4099-5539
010-5114-5562)</x:v>
      </x:c>
      <x:c r="F20" s="281" t="str">
        <x:f>IF('초등학교+병설유치원(7월)'!E22="","",'초등학교+병설유치원(7월)'!E22)</x:f>
        <x:v>백승희
(063-831-3474
010-4688-9303)</x:v>
      </x:c>
      <x:c r="G20" s="284" t="n">
        <x:f>IF('초등학교+병설유치원(7월)'!F22="","",'초등학교+병설유치원(7월)'!F22)</x:f>
        <x:v>24</x:v>
      </x:c>
      <x:c r="H20" s="284" t="n">
        <x:f>IF('초등학교+병설유치원(7월)'!G22="","",'초등학교+병설유치원(7월)'!G22)</x:f>
        <x:v>13</x:v>
      </x:c>
      <x:c r="I20" s="284" t="n">
        <x:f>IF('초등학교+병설유치원(7월)'!H22="","",'초등학교+병설유치원(7월)'!H22)</x:f>
        <x:v>11</x:v>
      </x:c>
      <x:c r="J20" s="284" t="str">
        <x:f>IF('초등학교+병설유치원(7월)'!I22="","",'초등학교+병설유치원(7월)'!I22)</x:f>
      </x:c>
      <x:c r="K20" s="284" t="str">
        <x:f>IF('초등학교+병설유치원(7월)'!J22="","",'초등학교+병설유치원(7월)'!J22)</x:f>
      </x:c>
      <x:c r="L20" s="284" t="str">
        <x:f>IF('초등학교+병설유치원(7월)'!K22="","",'초등학교+병설유치원(7월)'!K22)</x:f>
      </x:c>
      <x:c r="M20" s="285" t="n">
        <x:f>IF('초등학교+병설유치원(7월)'!L22="","",'초등학교+병설유치원(7월)'!L22)</x:f>
        <x:v>0.5</x:v>
      </x:c>
      <x:c r="N20" s="281" t="str">
        <x:f>IF('초등학교+병설유치원(7월)'!M22="","",'초등학교+병설유치원(7월)'!M22)</x:f>
        <x:v>7.30.~8.21.
(16일)</x:v>
      </x:c>
      <x:c r="O20" s="281" t="str">
        <x:f>IF('초등학교+병설유치원(7월)'!N22="","",'초등학교+병설유치원(7월)'!N22)</x:f>
      </x:c>
      <x:c r="P20" s="282" t="str">
        <x:f>IF('초등학교+병설유치원(7월)'!O22="","",'초등학교+병설유치원(7월)'!O22)</x:f>
        <x:v>16일</x:v>
      </x:c>
      <x:c r="Q20" s="282" t="str">
        <x:f>IF('초등학교+병설유치원(7월)'!P22="","",'초등학교+병설유치원(7월)'!P22)</x:f>
        <x:v>배식</x:v>
      </x:c>
      <x:c r="R20" s="281" t="str">
        <x:f>IF('초등학교+병설유치원(7월)'!CF22="","",'초등학교+병설유치원(7월)'!CF22)</x:f>
        <x:v>돌봄1반</x:v>
      </x:c>
      <x:c r="S20" s="281" t="str">
        <x:f>IF('초등학교+병설유치원(7월)'!CG22="","",'초등학교+병설유치원(7월)'!CG22)</x:f>
        <x:v>김영화</x:v>
      </x:c>
      <x:c r="T20" s="281" t="str">
        <x:f>IF('초등학교+병설유치원(7월)'!CH22="","",'초등학교+병설유치원(7월)'!CH22)</x:f>
      </x:c>
      <x:c r="U20" s="288" t="n">
        <x:f>SUM(X20:AH20)</x:f>
        <x:v>48</x:v>
      </x:c>
      <x:c r="V20" s="288" t="n">
        <x:f>SUM(AI20:BB20)</x:f>
        <x:v>336</x:v>
      </x:c>
      <x:c r="W20" s="288" t="n">
        <x:f>U20+V20</x:f>
        <x:v>384</x:v>
      </x:c>
      <x:c r="X20" s="286" t="n">
        <x:f>SUM('초등학교+병설유치원(7월)'!Q22:'초등학교+병설유치원(7월)'!U22)</x:f>
        <x:v>0</x:v>
      </x:c>
      <x:c r="Y20" s="286" t="n">
        <x:f>SUM('초등학교+병설유치원(7월)'!W22:'초등학교+병설유치원(7월)'!AA22)</x:f>
        <x:v>0</x:v>
      </x:c>
      <x:c r="Z20" s="286" t="n">
        <x:f>SUM('초등학교+병설유치원(7월)'!AC22:'초등학교+병설유치원(7월)'!AG22)</x:f>
        <x:v>0</x:v>
      </x:c>
      <x:c r="AA20" s="286" t="n">
        <x:f>SUM('초등학교+병설유치원(7월)'!AI22:'초등학교+병설유치원(7월)'!AM22)</x:f>
        <x:v>0</x:v>
      </x:c>
      <x:c r="AB20" s="286" t="n">
        <x:f>SUM('초등학교+병설유치원(7월)'!AO22:'초등학교+병설유치원(7월)'!AS22)</x:f>
        <x:v>0</x:v>
      </x:c>
      <x:c r="AC20" s="286" t="n">
        <x:f>SUM('초등학교+병설유치원(7월)'!AU22:'초등학교+병설유치원(7월)'!AY22)</x:f>
        <x:v>0</x:v>
      </x:c>
      <x:c r="AD20" s="286" t="n">
        <x:f>SUM('초등학교+병설유치원(7월)'!BA22:'초등학교+병설유치원(7월)'!BE22)</x:f>
        <x:v>0</x:v>
      </x:c>
      <x:c r="AE20" s="286" t="n">
        <x:f>SUM('초등학교+병설유치원(7월)'!BG22:'초등학교+병설유치원(7월)'!BK22)</x:f>
        <x:v>0</x:v>
      </x:c>
      <x:c r="AF20" s="286" t="n">
        <x:f>SUM('초등학교+병설유치원(7월)'!BM22:'초등학교+병설유치원(7월)'!BQ22)</x:f>
        <x:v>0</x:v>
      </x:c>
      <x:c r="AG20" s="286" t="n">
        <x:f>SUM('초등학교+병설유치원(7월)'!BS22:'초등학교+병설유치원(7월)'!BW22)</x:f>
        <x:v>24</x:v>
      </x:c>
      <x:c r="AH20" s="286" t="n">
        <x:f>SUM('초등학교+병설유치원(7월)'!BY22:'초등학교+병설유치원(7월)'!CC22)</x:f>
        <x:v>24</x:v>
      </x:c>
      <x:c r="AI20" s="286" t="n">
        <x:f>SUM('초등학교+병설유치원(8월)'!Q22:'초등학교+병설유치원(8월)'!U22)</x:f>
        <x:v>24</x:v>
      </x:c>
      <x:c r="AJ20" s="286" t="n">
        <x:f>SUM('초등학교+병설유치원(8월)'!W22:'초등학교+병설유치원(8월)'!AA22)</x:f>
        <x:v>24</x:v>
      </x:c>
      <x:c r="AK20" s="286" t="n">
        <x:f>SUM('초등학교+병설유치원(8월)'!AC22:'초등학교+병설유치원(8월)'!AG22)</x:f>
        <x:v>24</x:v>
      </x:c>
      <x:c r="AL20" s="286" t="n">
        <x:f>SUM('초등학교+병설유치원(8월)'!AI22:'초등학교+병설유치원(8월)'!AM22)</x:f>
        <x:v>24</x:v>
      </x:c>
      <x:c r="AM20" s="286" t="n">
        <x:f>SUM('초등학교+병설유치원(8월)'!AO22:'초등학교+병설유치원(8월)'!AS22)</x:f>
        <x:v>24</x:v>
      </x:c>
      <x:c r="AN20" s="286" t="n">
        <x:f>SUM('초등학교+병설유치원(8월)'!AU22:'초등학교+병설유치원(8월)'!AY22)</x:f>
        <x:v>24</x:v>
      </x:c>
      <x:c r="AO20" s="286" t="n">
        <x:f>SUM('초등학교+병설유치원(8월)'!BA22:'초등학교+병설유치원(8월)'!BE22)</x:f>
        <x:v>24</x:v>
      </x:c>
      <x:c r="AP20" s="286" t="n">
        <x:f>SUM('초등학교+병설유치원(8월)'!BG22:'초등학교+병설유치원(8월)'!BK22)</x:f>
        <x:v>24</x:v>
      </x:c>
      <x:c r="AQ20" s="286" t="n">
        <x:f>SUM('초등학교+병설유치원(8월)'!BM22:'초등학교+병설유치원(8월)'!BQ22)</x:f>
        <x:v>24</x:v>
      </x:c>
      <x:c r="AR20" s="286" t="n">
        <x:f>SUM('초등학교+병설유치원(8월)'!BS22:'초등학교+병설유치원(8월)'!BW22)</x:f>
        <x:v>24</x:v>
      </x:c>
      <x:c r="AS20" s="286" t="n">
        <x:f>SUM('초등학교+병설유치원(8월)'!BY22:'초등학교+병설유치원(8월)'!CC22)</x:f>
        <x:v>24</x:v>
      </x:c>
      <x:c r="AT20" s="286" t="n">
        <x:f>SUM('초등학교+병설유치원(8월)'!CE22:'초등학교+병설유치원(8월)'!CI22)</x:f>
        <x:v>24</x:v>
      </x:c>
      <x:c r="AU20" s="286" t="n">
        <x:f>SUM('초등학교+병설유치원(8월)'!CK22:'초등학교+병설유치원(8월)'!CO22)</x:f>
        <x:v>24</x:v>
      </x:c>
      <x:c r="AV20" s="286" t="n">
        <x:f>SUM('초등학교+병설유치원(8월)'!CQ22:'초등학교+병설유치원(8월)'!CU22)</x:f>
        <x:v>24</x:v>
      </x:c>
      <x:c r="AW20" s="286" t="n">
        <x:f>SUM('초등학교+병설유치원(8월)'!CW22:'초등학교+병설유치원(8월)'!DA22)</x:f>
        <x:v>0</x:v>
      </x:c>
      <x:c r="AX20" s="286" t="n">
        <x:f>SUM('초등학교+병설유치원(8월)'!DC22:'초등학교+병설유치원(8월)'!DG22)</x:f>
        <x:v>0</x:v>
      </x:c>
      <x:c r="AY20" s="286" t="n">
        <x:f>SUM('초등학교+병설유치원(8월)'!DI22:'초등학교+병설유치원(8월)'!DM22)</x:f>
        <x:v>0</x:v>
      </x:c>
      <x:c r="AZ20" s="286" t="n">
        <x:f>SUM('초등학교+병설유치원(8월)'!DO22:'초등학교+병설유치원(8월)'!DS22)</x:f>
        <x:v>0</x:v>
      </x:c>
      <x:c r="BA20" s="286" t="n">
        <x:f>SUM('초등학교+병설유치원(8월)'!DU22:'초등학교+병설유치원(8월)'!DY22)</x:f>
        <x:v>0</x:v>
      </x:c>
      <x:c r="BB20" s="286" t="n">
        <x:f>SUM('초등학교+병설유치원(8월)'!EA22:'초등학교+병설유치원(8월)'!EE22)</x:f>
        <x:v>0</x:v>
      </x:c>
    </x:row>
    <x:row r="21" ht="44" customHeight="1">
      <x:c r="A21" s="282" t="str">
        <x:f>IF('초등학교+병설유치원(7월)'!A23="","",'초등학교+병설유치원(7월)'!A23)</x:f>
        <x:v>12-1</x:v>
      </x:c>
      <x:c r="B21" s="282" t="str">
        <x:v>병설유치원</x:v>
      </x:c>
      <x:c r="C21" s="282" t="str">
        <x:f>IF('초등학교+병설유치원(7월)'!B23="","",'초등학교+병설유치원(7월)'!B23)</x:f>
        <x:v>이리백제초 병설유치원</x:v>
      </x:c>
      <x:c r="D21" s="281" t="str">
        <x:f>IF('초등학교+병설유치원(7월)'!C23="","",'초등학교+병설유치원(7월)'!C23)</x:f>
        <x:v>익산시 궁동로 29</x:v>
      </x:c>
      <x:c r="E21" s="281" t="str">
        <x:f>IF('초등학교+병설유치원(7월)'!D23="","",'초등학교+병설유치원(7월)'!D23)</x:f>
        <x:v>(010-5203-8646)</x:v>
      </x:c>
      <x:c r="F21" s="281" t="str">
        <x:f>IF('초등학교+병설유치원(7월)'!E23="","",'초등학교+병설유치원(7월)'!E23)</x:f>
        <x:v>황예림
(010-8443-8414)</x:v>
      </x:c>
      <x:c r="G21" s="284" t="n">
        <x:f>IF('초등학교+병설유치원(7월)'!F23="","",'초등학교+병설유치원(7월)'!F23)</x:f>
        <x:v>2</x:v>
      </x:c>
      <x:c r="H21" s="284" t="n">
        <x:f>IF('초등학교+병설유치원(7월)'!G23="","",'초등학교+병설유치원(7월)'!G23)</x:f>
        <x:v>2</x:v>
      </x:c>
      <x:c r="I21" s="284" t="str">
        <x:f>IF('초등학교+병설유치원(7월)'!H23="","",'초등학교+병설유치원(7월)'!H23)</x:f>
      </x:c>
      <x:c r="J21" s="284" t="str">
        <x:f>IF('초등학교+병설유치원(7월)'!I23="","",'초등학교+병설유치원(7월)'!I23)</x:f>
      </x:c>
      <x:c r="K21" s="284" t="str">
        <x:f>IF('초등학교+병설유치원(7월)'!J23="","",'초등학교+병설유치원(7월)'!J23)</x:f>
      </x:c>
      <x:c r="L21" s="284" t="str">
        <x:f>IF('초등학교+병설유치원(7월)'!K23="","",'초등학교+병설유치원(7월)'!K23)</x:f>
      </x:c>
      <x:c r="M21" s="285" t="n">
        <x:f>IF('초등학교+병설유치원(7월)'!L23="","",'초등학교+병설유치원(7월)'!L23)</x:f>
        <x:v>0.5</x:v>
      </x:c>
      <x:c r="N21" s="281" t="str">
        <x:f>IF('초등학교+병설유치원(7월)'!M23="","",'초등학교+병설유치원(7월)'!M23)</x:f>
        <x:v>7.16.~8.21.(20일)</x:v>
      </x:c>
      <x:c r="O21" s="281" t="str">
        <x:f>IF('초등학교+병설유치원(7월)'!N23="","",'초등학교+병설유치원(7월)'!N23)</x:f>
        <x:v>7.27.~31.(5일)</x:v>
      </x:c>
      <x:c r="P21" s="282" t="str">
        <x:f>IF('초등학교+병설유치원(7월)'!O23="","",'초등학교+병설유치원(7월)'!O23)</x:f>
        <x:v>20일</x:v>
      </x:c>
      <x:c r="Q21" s="282" t="str">
        <x:f>IF('초등학교+병설유치원(7월)'!P23="","",'초등학교+병설유치원(7월)'!P23)</x:f>
        <x:v>도시락</x:v>
      </x:c>
      <x:c r="R21" s="281" t="str">
        <x:f>IF('초등학교+병설유치원(7월)'!CF23="","",'초등학교+병설유치원(7월)'!CF23)</x:f>
        <x:v>유치원 냉동고 및
초등학교 냉동고</x:v>
      </x:c>
      <x:c r="S21" s="281" t="str">
        <x:f>IF('초등학교+병설유치원(7월)'!CG23="","",'초등학교+병설유치원(7월)'!CG23)</x:f>
        <x:v>황예림</x:v>
      </x:c>
      <x:c r="T21" s="281" t="str">
        <x:f>IF('초등학교+병설유치원(7월)'!CH23="","",'초등학교+병설유치원(7월)'!CH23)</x:f>
      </x:c>
      <x:c r="U21" s="288" t="n">
        <x:f>SUM(X21:AH21)</x:f>
        <x:v>18</x:v>
      </x:c>
      <x:c r="V21" s="288" t="n">
        <x:f>SUM(AI21:BB21)</x:f>
        <x:v>28</x:v>
      </x:c>
      <x:c r="W21" s="288" t="n">
        <x:f>U21+V21</x:f>
        <x:v>46</x:v>
      </x:c>
      <x:c r="X21" s="286" t="n">
        <x:f>SUM('초등학교+병설유치원(7월)'!Q23:'초등학교+병설유치원(7월)'!U23)</x:f>
        <x:v>3</x:v>
      </x:c>
      <x:c r="Y21" s="286" t="n">
        <x:f>SUM('초등학교+병설유치원(7월)'!W23:'초등학교+병설유치원(7월)'!AA23)</x:f>
        <x:v>3</x:v>
      </x:c>
      <x:c r="Z21" s="286" t="n">
        <x:f>SUM('초등학교+병설유치원(7월)'!AC23:'초등학교+병설유치원(7월)'!AG23)</x:f>
        <x:v>3</x:v>
      </x:c>
      <x:c r="AA21" s="286" t="n">
        <x:f>SUM('초등학교+병설유치원(7월)'!AI23:'초등학교+병설유치원(7월)'!AM23)</x:f>
        <x:v>3</x:v>
      </x:c>
      <x:c r="AB21" s="286" t="n">
        <x:f>SUM('초등학교+병설유치원(7월)'!AO23:'초등학교+병설유치원(7월)'!AS23)</x:f>
        <x:v>3</x:v>
      </x:c>
      <x:c r="AC21" s="286" t="n">
        <x:f>SUM('초등학교+병설유치원(7월)'!AU23:'초등학교+병설유치원(7월)'!AY23)</x:f>
        <x:v>3</x:v>
      </x:c>
      <x:c r="AD21" s="286" t="n">
        <x:f>SUM('초등학교+병설유치원(7월)'!BA23:'초등학교+병설유치원(7월)'!BE23)</x:f>
        <x:v>0</x:v>
      </x:c>
      <x:c r="AE21" s="286" t="n">
        <x:f>SUM('초등학교+병설유치원(7월)'!BG23:'초등학교+병설유치원(7월)'!BK23)</x:f>
        <x:v>0</x:v>
      </x:c>
      <x:c r="AF21" s="286" t="n">
        <x:f>SUM('초등학교+병설유치원(7월)'!BM23:'초등학교+병설유치원(7월)'!BQ23)</x:f>
        <x:v>0</x:v>
      </x:c>
      <x:c r="AG21" s="286" t="n">
        <x:f>SUM('초등학교+병설유치원(7월)'!BS23:'초등학교+병설유치원(7월)'!BW23)</x:f>
        <x:v>0</x:v>
      </x:c>
      <x:c r="AH21" s="286" t="n">
        <x:f>SUM('초등학교+병설유치원(7월)'!BY23:'초등학교+병설유치원(7월)'!CC23)</x:f>
        <x:v>0</x:v>
      </x:c>
      <x:c r="AI21" s="286" t="n">
        <x:f>SUM('초등학교+병설유치원(8월)'!Q23:'초등학교+병설유치원(8월)'!U23)</x:f>
        <x:v>2</x:v>
      </x:c>
      <x:c r="AJ21" s="286" t="n">
        <x:f>SUM('초등학교+병설유치원(8월)'!W23:'초등학교+병설유치원(8월)'!AA23)</x:f>
        <x:v>2</x:v>
      </x:c>
      <x:c r="AK21" s="286" t="n">
        <x:f>SUM('초등학교+병설유치원(8월)'!AC23:'초등학교+병설유치원(8월)'!AG23)</x:f>
        <x:v>2</x:v>
      </x:c>
      <x:c r="AL21" s="286" t="n">
        <x:f>SUM('초등학교+병설유치원(8월)'!AI23:'초등학교+병설유치원(8월)'!AM23)</x:f>
        <x:v>2</x:v>
      </x:c>
      <x:c r="AM21" s="286" t="n">
        <x:f>SUM('초등학교+병설유치원(8월)'!AO23:'초등학교+병설유치원(8월)'!AS23)</x:f>
        <x:v>2</x:v>
      </x:c>
      <x:c r="AN21" s="286" t="n">
        <x:f>SUM('초등학교+병설유치원(8월)'!AU23:'초등학교+병설유치원(8월)'!AY23)</x:f>
        <x:v>2</x:v>
      </x:c>
      <x:c r="AO21" s="286" t="n">
        <x:f>SUM('초등학교+병설유치원(8월)'!BA23:'초등학교+병설유치원(8월)'!BE23)</x:f>
        <x:v>2</x:v>
      </x:c>
      <x:c r="AP21" s="286" t="n">
        <x:f>SUM('초등학교+병설유치원(8월)'!BG23:'초등학교+병설유치원(8월)'!BK23)</x:f>
        <x:v>2</x:v>
      </x:c>
      <x:c r="AQ21" s="286" t="n">
        <x:f>SUM('초등학교+병설유치원(8월)'!BM23:'초등학교+병설유치원(8월)'!BQ23)</x:f>
        <x:v>2</x:v>
      </x:c>
      <x:c r="AR21" s="286" t="n">
        <x:f>SUM('초등학교+병설유치원(8월)'!BS23:'초등학교+병설유치원(8월)'!BW23)</x:f>
        <x:v>2</x:v>
      </x:c>
      <x:c r="AS21" s="286" t="n">
        <x:f>SUM('초등학교+병설유치원(8월)'!BY23:'초등학교+병설유치원(8월)'!CC23)</x:f>
        <x:v>2</x:v>
      </x:c>
      <x:c r="AT21" s="286" t="n">
        <x:f>SUM('초등학교+병설유치원(8월)'!CE23:'초등학교+병설유치원(8월)'!CI23)</x:f>
        <x:v>2</x:v>
      </x:c>
      <x:c r="AU21" s="286" t="n">
        <x:f>SUM('초등학교+병설유치원(8월)'!CK23:'초등학교+병설유치원(8월)'!CO23)</x:f>
        <x:v>2</x:v>
      </x:c>
      <x:c r="AV21" s="286" t="n">
        <x:f>SUM('초등학교+병설유치원(8월)'!CQ23:'초등학교+병설유치원(8월)'!CU23)</x:f>
        <x:v>2</x:v>
      </x:c>
      <x:c r="AW21" s="286" t="n">
        <x:f>SUM('초등학교+병설유치원(8월)'!CW23:'초등학교+병설유치원(8월)'!DA23)</x:f>
        <x:v>0</x:v>
      </x:c>
      <x:c r="AX21" s="286" t="n">
        <x:f>SUM('초등학교+병설유치원(8월)'!DC23:'초등학교+병설유치원(8월)'!DG23)</x:f>
        <x:v>0</x:v>
      </x:c>
      <x:c r="AY21" s="286" t="n">
        <x:f>SUM('초등학교+병설유치원(8월)'!DI23:'초등학교+병설유치원(8월)'!DM23)</x:f>
        <x:v>0</x:v>
      </x:c>
      <x:c r="AZ21" s="286" t="n">
        <x:f>SUM('초등학교+병설유치원(8월)'!DO23:'초등학교+병설유치원(8월)'!DS23)</x:f>
        <x:v>0</x:v>
      </x:c>
      <x:c r="BA21" s="286" t="n">
        <x:f>SUM('초등학교+병설유치원(8월)'!DU23:'초등학교+병설유치원(8월)'!DY23)</x:f>
        <x:v>0</x:v>
      </x:c>
      <x:c r="BB21" s="286" t="n">
        <x:f>SUM('초등학교+병설유치원(8월)'!EA23:'초등학교+병설유치원(8월)'!EE23)</x:f>
        <x:v>0</x:v>
      </x:c>
    </x:row>
    <x:row r="22" ht="44" customHeight="1">
      <x:c r="A22" s="282" t="n">
        <x:f>IF('초등학교+병설유치원(7월)'!A24="","",'초등학교+병설유치원(7월)'!A24)</x:f>
        <x:v>13</x:v>
      </x:c>
      <x:c r="B22" s="282" t="str">
        <x:v>초등학교</x:v>
      </x:c>
      <x:c r="C22" s="282" t="str">
        <x:f>IF('초등학교+병설유치원(7월)'!B24="","",'초등학교+병설유치원(7월)'!B24)</x:f>
        <x:v>이리부송초</x:v>
      </x:c>
      <x:c r="D22" s="281" t="str">
        <x:f>IF('초등학교+병설유치원(7월)'!C24="","",'초등학교+병설유치원(7월)'!C24)</x:f>
        <x:v>익산시 부송로 2길 27</x:v>
      </x:c>
      <x:c r="E22" s="281" t="str">
        <x:f>IF('초등학교+병설유치원(7월)'!D24="","",'초등학교+병설유치원(7월)'!D24)</x:f>
        <x:v>문경희
(063-830-8685
010-8181-4932)</x:v>
      </x:c>
      <x:c r="F22" s="281" t="str">
        <x:f>IF('초등학교+병설유치원(7월)'!E24="","",'초등학교+병설유치원(7월)'!E24)</x:f>
        <x:v>문경희
(063-830-8683
010-8181-4932)</x:v>
      </x:c>
      <x:c r="G22" s="284" t="n">
        <x:f>IF('초등학교+병설유치원(7월)'!F24="","",'초등학교+병설유치원(7월)'!F24)</x:f>
        <x:v>36</x:v>
      </x:c>
      <x:c r="H22" s="284" t="n">
        <x:f>IF('초등학교+병설유치원(7월)'!G24="","",'초등학교+병설유치원(7월)'!G24)</x:f>
        <x:v>21</x:v>
      </x:c>
      <x:c r="I22" s="284" t="n">
        <x:f>IF('초등학교+병설유치원(7월)'!H24="","",'초등학교+병설유치원(7월)'!H24)</x:f>
        <x:v>15</x:v>
      </x:c>
      <x:c r="J22" s="284" t="str">
        <x:f>IF('초등학교+병설유치원(7월)'!I24="","",'초등학교+병설유치원(7월)'!I24)</x:f>
      </x:c>
      <x:c r="K22" s="284" t="str">
        <x:f>IF('초등학교+병설유치원(7월)'!J24="","",'초등학교+병설유치원(7월)'!J24)</x:f>
      </x:c>
      <x:c r="L22" s="284" t="str">
        <x:f>IF('초등학교+병설유치원(7월)'!K24="","",'초등학교+병설유치원(7월)'!K24)</x:f>
      </x:c>
      <x:c r="M22" s="285" t="n">
        <x:f>IF('초등학교+병설유치원(7월)'!L24="","",'초등학교+병설유치원(7월)'!L24)</x:f>
        <x:v>0.4861111111111111</x:v>
      </x:c>
      <x:c r="N22" s="281" t="str">
        <x:f>IF('초등학교+병설유치원(7월)'!M24="","",'초등학교+병설유치원(7월)'!M24)</x:f>
        <x:v>7.27.~8.20.
(15일)</x:v>
      </x:c>
      <x:c r="O22" s="281" t="str">
        <x:f>IF('초등학교+병설유치원(7월)'!N24="","",'초등학교+병설유치원(7월)'!N24)</x:f>
        <x:v>7.29.~7.31.</x:v>
      </x:c>
      <x:c r="P22" s="282" t="str">
        <x:f>IF('초등학교+병설유치원(7월)'!O24="","",'초등학교+병설유치원(7월)'!O24)</x:f>
        <x:v>15일</x:v>
      </x:c>
      <x:c r="Q22" s="282" t="str">
        <x:f>IF('초등학교+병설유치원(7월)'!P24="","",'초등학교+병설유치원(7월)'!P24)</x:f>
        <x:v>배식</x:v>
      </x:c>
      <x:c r="R22" s="281" t="str">
        <x:f>IF('초등학교+병설유치원(7월)'!CF24="","",'초등학교+병설유치원(7월)'!CF24)</x:f>
        <x:v>돌봄1반</x:v>
      </x:c>
      <x:c r="S22" s="281" t="str">
        <x:f>IF('초등학교+병설유치원(7월)'!CG24="","",'초등학교+병설유치원(7월)'!CG24)</x:f>
        <x:v>최혜숙</x:v>
      </x:c>
      <x:c r="T22" s="281" t="str">
        <x:f>IF('초등학교+병설유치원(7월)'!CH24="","",'초등학교+병설유치원(7월)'!CH24)</x:f>
      </x:c>
      <x:c r="U22" s="288" t="n">
        <x:f>SUM(X22:AH22)</x:f>
        <x:v>72</x:v>
      </x:c>
      <x:c r="V22" s="288" t="n">
        <x:f>SUM(AI22:BB22)</x:f>
        <x:v>468</x:v>
      </x:c>
      <x:c r="W22" s="288" t="n">
        <x:f>U22+V22</x:f>
        <x:v>540</x:v>
      </x:c>
      <x:c r="X22" s="286" t="n">
        <x:f>SUM('초등학교+병설유치원(7월)'!Q24:'초등학교+병설유치원(7월)'!U24)</x:f>
        <x:v>0</x:v>
      </x:c>
      <x:c r="Y22" s="286" t="n">
        <x:f>SUM('초등학교+병설유치원(7월)'!W24:'초등학교+병설유치원(7월)'!AA24)</x:f>
        <x:v>0</x:v>
      </x:c>
      <x:c r="Z22" s="286" t="n">
        <x:f>SUM('초등학교+병설유치원(7월)'!AC24:'초등학교+병설유치원(7월)'!AG24)</x:f>
        <x:v>0</x:v>
      </x:c>
      <x:c r="AA22" s="286" t="n">
        <x:f>SUM('초등학교+병설유치원(7월)'!AI24:'초등학교+병설유치원(7월)'!AM24)</x:f>
        <x:v>0</x:v>
      </x:c>
      <x:c r="AB22" s="286" t="n">
        <x:f>SUM('초등학교+병설유치원(7월)'!AO24:'초등학교+병설유치원(7월)'!AS24)</x:f>
        <x:v>0</x:v>
      </x:c>
      <x:c r="AC22" s="286" t="n">
        <x:f>SUM('초등학교+병설유치원(7월)'!AU24:'초등학교+병설유치원(7월)'!AY24)</x:f>
        <x:v>0</x:v>
      </x:c>
      <x:c r="AD22" s="286" t="n">
        <x:f>SUM('초등학교+병설유치원(7월)'!BA24:'초등학교+병설유치원(7월)'!BE24)</x:f>
        <x:v>36</x:v>
      </x:c>
      <x:c r="AE22" s="286" t="n">
        <x:f>SUM('초등학교+병설유치원(7월)'!BG24:'초등학교+병설유치원(7월)'!BK24)</x:f>
        <x:v>36</x:v>
      </x:c>
      <x:c r="AF22" s="286" t="n">
        <x:f>SUM('초등학교+병설유치원(7월)'!BM24:'초등학교+병설유치원(7월)'!BQ24)</x:f>
        <x:v>0</x:v>
      </x:c>
      <x:c r="AG22" s="286" t="n">
        <x:f>SUM('초등학교+병설유치원(7월)'!BS24:'초등학교+병설유치원(7월)'!BW24)</x:f>
        <x:v>0</x:v>
      </x:c>
      <x:c r="AH22" s="286" t="n">
        <x:f>SUM('초등학교+병설유치원(7월)'!BY24:'초등학교+병설유치원(7월)'!CC24)</x:f>
        <x:v>0</x:v>
      </x:c>
      <x:c r="AI22" s="286" t="n">
        <x:f>SUM('초등학교+병설유치원(8월)'!Q24:'초등학교+병설유치원(8월)'!U24)</x:f>
        <x:v>36</x:v>
      </x:c>
      <x:c r="AJ22" s="286" t="n">
        <x:f>SUM('초등학교+병설유치원(8월)'!W24:'초등학교+병설유치원(8월)'!AA24)</x:f>
        <x:v>36</x:v>
      </x:c>
      <x:c r="AK22" s="286" t="n">
        <x:f>SUM('초등학교+병설유치원(8월)'!AC24:'초등학교+병설유치원(8월)'!AG24)</x:f>
        <x:v>36</x:v>
      </x:c>
      <x:c r="AL22" s="286" t="n">
        <x:f>SUM('초등학교+병설유치원(8월)'!AI24:'초등학교+병설유치원(8월)'!AM24)</x:f>
        <x:v>36</x:v>
      </x:c>
      <x:c r="AM22" s="286" t="n">
        <x:f>SUM('초등학교+병설유치원(8월)'!AO24:'초등학교+병설유치원(8월)'!AS24)</x:f>
        <x:v>36</x:v>
      </x:c>
      <x:c r="AN22" s="286" t="n">
        <x:f>SUM('초등학교+병설유치원(8월)'!AU24:'초등학교+병설유치원(8월)'!AY24)</x:f>
        <x:v>36</x:v>
      </x:c>
      <x:c r="AO22" s="286" t="n">
        <x:f>SUM('초등학교+병설유치원(8월)'!BA24:'초등학교+병설유치원(8월)'!BE24)</x:f>
        <x:v>36</x:v>
      </x:c>
      <x:c r="AP22" s="286" t="n">
        <x:f>SUM('초등학교+병설유치원(8월)'!BG24:'초등학교+병설유치원(8월)'!BK24)</x:f>
        <x:v>36</x:v>
      </x:c>
      <x:c r="AQ22" s="286" t="n">
        <x:f>SUM('초등학교+병설유치원(8월)'!BM24:'초등학교+병설유치원(8월)'!BQ24)</x:f>
        <x:v>36</x:v>
      </x:c>
      <x:c r="AR22" s="286" t="n">
        <x:f>SUM('초등학교+병설유치원(8월)'!BS24:'초등학교+병설유치원(8월)'!BW24)</x:f>
        <x:v>36</x:v>
      </x:c>
      <x:c r="AS22" s="286" t="n">
        <x:f>SUM('초등학교+병설유치원(8월)'!BY24:'초등학교+병설유치원(8월)'!CC24)</x:f>
        <x:v>36</x:v>
      </x:c>
      <x:c r="AT22" s="286" t="n">
        <x:f>SUM('초등학교+병설유치원(8월)'!CE24:'초등학교+병설유치원(8월)'!CI24)</x:f>
        <x:v>36</x:v>
      </x:c>
      <x:c r="AU22" s="286" t="n">
        <x:f>SUM('초등학교+병설유치원(8월)'!CK24:'초등학교+병설유치원(8월)'!CO24)</x:f>
        <x:v>36</x:v>
      </x:c>
      <x:c r="AV22" s="286" t="n">
        <x:f>SUM('초등학교+병설유치원(8월)'!CQ24:'초등학교+병설유치원(8월)'!CU24)</x:f>
        <x:v>0</x:v>
      </x:c>
      <x:c r="AW22" s="286" t="n">
        <x:f>SUM('초등학교+병설유치원(8월)'!CW24:'초등학교+병설유치원(8월)'!DA24)</x:f>
        <x:v>0</x:v>
      </x:c>
      <x:c r="AX22" s="286" t="n">
        <x:f>SUM('초등학교+병설유치원(8월)'!DC24:'초등학교+병설유치원(8월)'!DG24)</x:f>
        <x:v>0</x:v>
      </x:c>
      <x:c r="AY22" s="286" t="n">
        <x:f>SUM('초등학교+병설유치원(8월)'!DI24:'초등학교+병설유치원(8월)'!DM24)</x:f>
        <x:v>0</x:v>
      </x:c>
      <x:c r="AZ22" s="286" t="n">
        <x:f>SUM('초등학교+병설유치원(8월)'!DO24:'초등학교+병설유치원(8월)'!DS24)</x:f>
        <x:v>0</x:v>
      </x:c>
      <x:c r="BA22" s="286" t="n">
        <x:f>SUM('초등학교+병설유치원(8월)'!DU24:'초등학교+병설유치원(8월)'!DY24)</x:f>
        <x:v>0</x:v>
      </x:c>
      <x:c r="BB22" s="286" t="n">
        <x:f>SUM('초등학교+병설유치원(8월)'!EA24:'초등학교+병설유치원(8월)'!EE24)</x:f>
        <x:v>0</x:v>
      </x:c>
    </x:row>
    <x:row r="23" ht="44" customHeight="1">
      <x:c r="A23" s="282" t="n">
        <x:f>IF('초등학교+병설유치원(7월)'!A25="","",'초등학교+병설유치원(7월)'!A25)</x:f>
        <x:v>14</x:v>
      </x:c>
      <x:c r="B23" s="282" t="str">
        <x:v>초등학교</x:v>
      </x:c>
      <x:c r="C23" s="282" t="str">
        <x:f>IF('초등학교+병설유치원(7월)'!B25="","",'초등학교+병설유치원(7월)'!B25)</x:f>
        <x:v>이리부천초</x:v>
      </x:c>
      <x:c r="D23" s="281" t="str">
        <x:f>IF('초등학교+병설유치원(7월)'!C25="","",'초등학교+병설유치원(7월)'!C25)</x:f>
        <x:v>익산시 부송1로 32</x:v>
      </x:c>
      <x:c r="E23" s="281" t="str">
        <x:f>IF('초등학교+병설유치원(7월)'!D25="","",'초등학교+병설유치원(7월)'!D25)</x:f>
        <x:v>백명금
(070-4323-5455
010-2241-1889)</x:v>
      </x:c>
      <x:c r="F23" s="281" t="str">
        <x:f>IF('초등학교+병설유치원(7월)'!E25="","",'초등학교+병설유치원(7월)'!E25)</x:f>
        <x:v>김진주
(070-4323-5480
010-8604-7618)</x:v>
      </x:c>
      <x:c r="G23" s="284" t="n">
        <x:f>IF('초등학교+병설유치원(7월)'!F25="","",'초등학교+병설유치원(7월)'!F25)</x:f>
        <x:v>39</x:v>
      </x:c>
      <x:c r="H23" s="284" t="n">
        <x:f>IF('초등학교+병설유치원(7월)'!G25="","",'초등학교+병설유치원(7월)'!G25)</x:f>
        <x:v>20</x:v>
      </x:c>
      <x:c r="I23" s="284" t="n">
        <x:f>IF('초등학교+병설유치원(7월)'!H25="","",'초등학교+병설유치원(7월)'!H25)</x:f>
        <x:v>19</x:v>
      </x:c>
      <x:c r="J23" s="284" t="str">
        <x:f>IF('초등학교+병설유치원(7월)'!I25="","",'초등학교+병설유치원(7월)'!I25)</x:f>
      </x:c>
      <x:c r="K23" s="284" t="str">
        <x:f>IF('초등학교+병설유치원(7월)'!J25="","",'초등학교+병설유치원(7월)'!J25)</x:f>
      </x:c>
      <x:c r="L23" s="284" t="str">
        <x:f>IF('초등학교+병설유치원(7월)'!K25="","",'초등학교+병설유치원(7월)'!K25)</x:f>
      </x:c>
      <x:c r="M23" s="285" t="n">
        <x:f>IF('초등학교+병설유치원(7월)'!L25="","",'초등학교+병설유치원(7월)'!L25)</x:f>
        <x:v>0.5</x:v>
      </x:c>
      <x:c r="N23" s="281" t="str">
        <x:f>IF('초등학교+병설유치원(7월)'!M25="","",'초등학교+병설유치원(7월)'!M25)</x:f>
        <x:v>7.29.~8.18.
(14일)</x:v>
      </x:c>
      <x:c r="O23" s="281" t="str">
        <x:f>IF('초등학교+병설유치원(7월)'!N25="","",'초등학교+병설유치원(7월)'!N25)</x:f>
      </x:c>
      <x:c r="P23" s="282" t="str">
        <x:f>IF('초등학교+병설유치원(7월)'!O25="","",'초등학교+병설유치원(7월)'!O25)</x:f>
        <x:v>14일</x:v>
      </x:c>
      <x:c r="Q23" s="282" t="str">
        <x:f>IF('초등학교+병설유치원(7월)'!P25="","",'초등학교+병설유치원(7월)'!P25)</x:f>
        <x:v>배식</x:v>
      </x:c>
      <x:c r="R23" s="281" t="str">
        <x:f>IF('초등학교+병설유치원(7월)'!CF25="","",'초등학교+병설유치원(7월)'!CF25)</x:f>
        <x:v>돌봄2반</x:v>
      </x:c>
      <x:c r="S23" s="281" t="str">
        <x:f>IF('초등학교+병설유치원(7월)'!CG25="","",'초등학교+병설유치원(7월)'!CG25)</x:f>
        <x:v>백명금</x:v>
      </x:c>
      <x:c r="T23" s="281" t="str">
        <x:f>IF('초등학교+병설유치원(7월)'!CH25="","",'초등학교+병설유치원(7월)'!CH25)</x:f>
      </x:c>
      <x:c r="U23" s="288" t="n">
        <x:f>SUM(X23:AH23)</x:f>
        <x:v>117</x:v>
      </x:c>
      <x:c r="V23" s="288" t="n">
        <x:f>SUM(AI23:BB23)</x:f>
        <x:v>429</x:v>
      </x:c>
      <x:c r="W23" s="288" t="n">
        <x:f>U23+V23</x:f>
        <x:v>546</x:v>
      </x:c>
      <x:c r="X23" s="286" t="n">
        <x:f>SUM('초등학교+병설유치원(7월)'!Q25:'초등학교+병설유치원(7월)'!U25)</x:f>
        <x:v>0</x:v>
      </x:c>
      <x:c r="Y23" s="286" t="n">
        <x:f>SUM('초등학교+병설유치원(7월)'!W25:'초등학교+병설유치원(7월)'!AA25)</x:f>
        <x:v>0</x:v>
      </x:c>
      <x:c r="Z23" s="286" t="n">
        <x:f>SUM('초등학교+병설유치원(7월)'!AC25:'초등학교+병설유치원(7월)'!AG25)</x:f>
        <x:v>0</x:v>
      </x:c>
      <x:c r="AA23" s="286" t="n">
        <x:f>SUM('초등학교+병설유치원(7월)'!AI25:'초등학교+병설유치원(7월)'!AM25)</x:f>
        <x:v>0</x:v>
      </x:c>
      <x:c r="AB23" s="286" t="n">
        <x:f>SUM('초등학교+병설유치원(7월)'!AO25:'초등학교+병설유치원(7월)'!AS25)</x:f>
        <x:v>0</x:v>
      </x:c>
      <x:c r="AC23" s="286" t="n">
        <x:f>SUM('초등학교+병설유치원(7월)'!AU25:'초등학교+병설유치원(7월)'!AY25)</x:f>
        <x:v>0</x:v>
      </x:c>
      <x:c r="AD23" s="286" t="n">
        <x:f>SUM('초등학교+병설유치원(7월)'!BA25:'초등학교+병설유치원(7월)'!BE25)</x:f>
        <x:v>0</x:v>
      </x:c>
      <x:c r="AE23" s="286" t="n">
        <x:f>SUM('초등학교+병설유치원(7월)'!BG25:'초등학교+병설유치원(7월)'!BK25)</x:f>
        <x:v>0</x:v>
      </x:c>
      <x:c r="AF23" s="286" t="n">
        <x:f>SUM('초등학교+병설유치원(7월)'!BM25:'초등학교+병설유치원(7월)'!BQ25)</x:f>
        <x:v>39</x:v>
      </x:c>
      <x:c r="AG23" s="286" t="n">
        <x:f>SUM('초등학교+병설유치원(7월)'!BS25:'초등학교+병설유치원(7월)'!BW25)</x:f>
        <x:v>39</x:v>
      </x:c>
      <x:c r="AH23" s="286" t="n">
        <x:f>SUM('초등학교+병설유치원(7월)'!BY25:'초등학교+병설유치원(7월)'!CC25)</x:f>
        <x:v>39</x:v>
      </x:c>
      <x:c r="AI23" s="286" t="n">
        <x:f>SUM('초등학교+병설유치원(8월)'!Q25:'초등학교+병설유치원(8월)'!U25)</x:f>
        <x:v>39</x:v>
      </x:c>
      <x:c r="AJ23" s="286" t="n">
        <x:f>SUM('초등학교+병설유치원(8월)'!W25:'초등학교+병설유치원(8월)'!AA25)</x:f>
        <x:v>39</x:v>
      </x:c>
      <x:c r="AK23" s="286" t="n">
        <x:f>SUM('초등학교+병설유치원(8월)'!AC25:'초등학교+병설유치원(8월)'!AG25)</x:f>
        <x:v>39</x:v>
      </x:c>
      <x:c r="AL23" s="286" t="n">
        <x:f>SUM('초등학교+병설유치원(8월)'!AI25:'초등학교+병설유치원(8월)'!AM25)</x:f>
        <x:v>39</x:v>
      </x:c>
      <x:c r="AM23" s="286" t="n">
        <x:f>SUM('초등학교+병설유치원(8월)'!AO25:'초등학교+병설유치원(8월)'!AS25)</x:f>
        <x:v>39</x:v>
      </x:c>
      <x:c r="AN23" s="286" t="n">
        <x:f>SUM('초등학교+병설유치원(8월)'!AU25:'초등학교+병설유치원(8월)'!AY25)</x:f>
        <x:v>39</x:v>
      </x:c>
      <x:c r="AO23" s="286" t="n">
        <x:f>SUM('초등학교+병설유치원(8월)'!BA25:'초등학교+병설유치원(8월)'!BE25)</x:f>
        <x:v>39</x:v>
      </x:c>
      <x:c r="AP23" s="286" t="n">
        <x:f>SUM('초등학교+병설유치원(8월)'!BG25:'초등학교+병설유치원(8월)'!BK25)</x:f>
        <x:v>39</x:v>
      </x:c>
      <x:c r="AQ23" s="286" t="n">
        <x:f>SUM('초등학교+병설유치원(8월)'!BM25:'초등학교+병설유치원(8월)'!BQ25)</x:f>
        <x:v>39</x:v>
      </x:c>
      <x:c r="AR23" s="286" t="n">
        <x:f>SUM('초등학교+병설유치원(8월)'!BS25:'초등학교+병설유치원(8월)'!BW25)</x:f>
        <x:v>39</x:v>
      </x:c>
      <x:c r="AS23" s="286" t="n">
        <x:f>SUM('초등학교+병설유치원(8월)'!BY25:'초등학교+병설유치원(8월)'!CC25)</x:f>
        <x:v>39</x:v>
      </x:c>
      <x:c r="AT23" s="286" t="n">
        <x:f>SUM('초등학교+병설유치원(8월)'!CE25:'초등학교+병설유치원(8월)'!CI25)</x:f>
        <x:v>0</x:v>
      </x:c>
      <x:c r="AU23" s="286" t="n">
        <x:f>SUM('초등학교+병설유치원(8월)'!CK25:'초등학교+병설유치원(8월)'!CO25)</x:f>
        <x:v>0</x:v>
      </x:c>
      <x:c r="AV23" s="286" t="n">
        <x:f>SUM('초등학교+병설유치원(8월)'!CQ25:'초등학교+병설유치원(8월)'!CU25)</x:f>
        <x:v>0</x:v>
      </x:c>
      <x:c r="AW23" s="286" t="n">
        <x:f>SUM('초등학교+병설유치원(8월)'!CW25:'초등학교+병설유치원(8월)'!DA25)</x:f>
        <x:v>0</x:v>
      </x:c>
      <x:c r="AX23" s="286" t="n">
        <x:f>SUM('초등학교+병설유치원(8월)'!DC25:'초등학교+병설유치원(8월)'!DG25)</x:f>
        <x:v>0</x:v>
      </x:c>
      <x:c r="AY23" s="286" t="n">
        <x:f>SUM('초등학교+병설유치원(8월)'!DI25:'초등학교+병설유치원(8월)'!DM25)</x:f>
        <x:v>0</x:v>
      </x:c>
      <x:c r="AZ23" s="286" t="n">
        <x:f>SUM('초등학교+병설유치원(8월)'!DO25:'초등학교+병설유치원(8월)'!DS25)</x:f>
        <x:v>0</x:v>
      </x:c>
      <x:c r="BA23" s="286" t="n">
        <x:f>SUM('초등학교+병설유치원(8월)'!DU25:'초등학교+병설유치원(8월)'!DY25)</x:f>
        <x:v>0</x:v>
      </x:c>
      <x:c r="BB23" s="286" t="n">
        <x:f>SUM('초등학교+병설유치원(8월)'!EA25:'초등학교+병설유치원(8월)'!EE25)</x:f>
        <x:v>0</x:v>
      </x:c>
    </x:row>
    <x:row r="24" ht="44" customHeight="1">
      <x:c r="A24" s="282" t="str">
        <x:f>IF('초등학교+병설유치원(7월)'!A26="","",'초등학교+병설유치원(7월)'!A26)</x:f>
        <x:v>14-1</x:v>
      </x:c>
      <x:c r="B24" s="282" t="str">
        <x:v>병설유치원</x:v>
      </x:c>
      <x:c r="C24" s="282" t="str">
        <x:f>IF('초등학교+병설유치원(7월)'!B26="","",'초등학교+병설유치원(7월)'!B26)</x:f>
        <x:v>이리부천초 병설유치원</x:v>
      </x:c>
      <x:c r="D24" s="281" t="str">
        <x:f>IF('초등학교+병설유치원(7월)'!C26="","",'초등학교+병설유치원(7월)'!C26)</x:f>
        <x:v>익산시 부송1로 32</x:v>
      </x:c>
      <x:c r="E24" s="281" t="str">
        <x:f>IF('초등학교+병설유치원(7월)'!D26="","",'초등학교+병설유치원(7월)'!D26)</x:f>
        <x:v>문수현
(010-9289-5946)</x:v>
      </x:c>
      <x:c r="F24" s="281" t="str">
        <x:f>IF('초등학교+병설유치원(7월)'!E26="","",'초등학교+병설유치원(7월)'!E26)</x:f>
        <x:v>남선옥
(010-4542-3267)</x:v>
      </x:c>
      <x:c r="G24" s="284" t="n">
        <x:f>IF('초등학교+병설유치원(7월)'!F26="","",'초등학교+병설유치원(7월)'!F26)</x:f>
        <x:v>11</x:v>
      </x:c>
      <x:c r="H24" s="284" t="n">
        <x:f>IF('초등학교+병설유치원(7월)'!G26="","",'초등학교+병설유치원(7월)'!G26)</x:f>
        <x:v>11</x:v>
      </x:c>
      <x:c r="I24" s="284" t="str">
        <x:f>IF('초등학교+병설유치원(7월)'!H26="","",'초등학교+병설유치원(7월)'!H26)</x:f>
      </x:c>
      <x:c r="J24" s="284" t="str">
        <x:f>IF('초등학교+병설유치원(7월)'!I26="","",'초등학교+병설유치원(7월)'!I26)</x:f>
      </x:c>
      <x:c r="K24" s="284" t="str">
        <x:f>IF('초등학교+병설유치원(7월)'!J26="","",'초등학교+병설유치원(7월)'!J26)</x:f>
      </x:c>
      <x:c r="L24" s="284" t="str">
        <x:f>IF('초등학교+병설유치원(7월)'!K26="","",'초등학교+병설유치원(7월)'!K26)</x:f>
      </x:c>
      <x:c r="M24" s="285" t="n">
        <x:f>IF('초등학교+병설유치원(7월)'!L26="","",'초등학교+병설유치원(7월)'!L26)</x:f>
        <x:v>0.4930555555555556</x:v>
      </x:c>
      <x:c r="N24" s="281" t="str">
        <x:f>IF('초등학교+병설유치원(7월)'!M26="","",'초등학교+병설유치원(7월)'!M26)</x:f>
        <x:v>7.27.~8.24.(20일)</x:v>
      </x:c>
      <x:c r="O24" s="281" t="str">
        <x:f>IF('초등학교+병설유치원(7월)'!N26="","",'초등학교+병설유치원(7월)'!N26)</x:f>
      </x:c>
      <x:c r="P24" s="282" t="str">
        <x:f>IF('초등학교+병설유치원(7월)'!O26="","",'초등학교+병설유치원(7월)'!O26)</x:f>
        <x:v>20일</x:v>
      </x:c>
      <x:c r="Q24" s="282" t="str">
        <x:f>IF('초등학교+병설유치원(7월)'!P26="","",'초등학교+병설유치원(7월)'!P26)</x:f>
        <x:v>도시락</x:v>
      </x:c>
      <x:c r="R24" s="281" t="str">
        <x:f>IF('초등학교+병설유치원(7월)'!CF26="","",'초등학교+병설유치원(7월)'!CF26)</x:f>
        <x:v>유치원 냉장고</x:v>
      </x:c>
      <x:c r="S24" s="281" t="str">
        <x:f>IF('초등학교+병설유치원(7월)'!CG26="","",'초등학교+병설유치원(7월)'!CG26)</x:f>
        <x:v>남선옥</x:v>
      </x:c>
      <x:c r="T24" s="281" t="str">
        <x:f>IF('초등학교+병설유치원(7월)'!CH26="","",'초등학교+병설유치원(7월)'!CH26)</x:f>
      </x:c>
      <x:c r="U24" s="288" t="n">
        <x:f>SUM(X24:AH24)</x:f>
        <x:v>57</x:v>
      </x:c>
      <x:c r="V24" s="288" t="n">
        <x:f>SUM(AI24:BB24)</x:f>
        <x:v>169</x:v>
      </x:c>
      <x:c r="W24" s="288" t="n">
        <x:f>U24+V24</x:f>
        <x:v>226</x:v>
      </x:c>
      <x:c r="X24" s="286" t="n">
        <x:f>SUM('초등학교+병설유치원(7월)'!Q26:'초등학교+병설유치원(7월)'!U26)</x:f>
        <x:v>0</x:v>
      </x:c>
      <x:c r="Y24" s="286" t="n">
        <x:f>SUM('초등학교+병설유치원(7월)'!W26:'초등학교+병설유치원(7월)'!AA26)</x:f>
        <x:v>0</x:v>
      </x:c>
      <x:c r="Z24" s="286" t="n">
        <x:f>SUM('초등학교+병설유치원(7월)'!AC26:'초등학교+병설유치원(7월)'!AG26)</x:f>
        <x:v>0</x:v>
      </x:c>
      <x:c r="AA24" s="286" t="n">
        <x:f>SUM('초등학교+병설유치원(7월)'!AI26:'초등학교+병설유치원(7월)'!AM26)</x:f>
        <x:v>0</x:v>
      </x:c>
      <x:c r="AB24" s="286" t="n">
        <x:f>SUM('초등학교+병설유치원(7월)'!AO26:'초등학교+병설유치원(7월)'!AS26)</x:f>
        <x:v>0</x:v>
      </x:c>
      <x:c r="AC24" s="286" t="n">
        <x:f>SUM('초등학교+병설유치원(7월)'!AU26:'초등학교+병설유치원(7월)'!AY26)</x:f>
        <x:v>0</x:v>
      </x:c>
      <x:c r="AD24" s="286" t="n">
        <x:f>SUM('초등학교+병설유치원(7월)'!BA26:'초등학교+병설유치원(7월)'!BE26)</x:f>
        <x:v>12</x:v>
      </x:c>
      <x:c r="AE24" s="286" t="n">
        <x:f>SUM('초등학교+병설유치원(7월)'!BG26:'초등학교+병설유치원(7월)'!BK26)</x:f>
        <x:v>12</x:v>
      </x:c>
      <x:c r="AF24" s="286" t="n">
        <x:f>SUM('초등학교+병설유치원(7월)'!BM26:'초등학교+병설유치원(7월)'!BQ26)</x:f>
        <x:v>11</x:v>
      </x:c>
      <x:c r="AG24" s="286" t="n">
        <x:f>SUM('초등학교+병설유치원(7월)'!BS26:'초등학교+병설유치원(7월)'!BW26)</x:f>
        <x:v>11</x:v>
      </x:c>
      <x:c r="AH24" s="286" t="n">
        <x:f>SUM('초등학교+병설유치원(7월)'!BY26:'초등학교+병설유치원(7월)'!CC26)</x:f>
        <x:v>11</x:v>
      </x:c>
      <x:c r="AI24" s="286" t="n">
        <x:f>SUM('초등학교+병설유치원(8월)'!Q26:'초등학교+병설유치원(8월)'!U26)</x:f>
        <x:v>11</x:v>
      </x:c>
      <x:c r="AJ24" s="286" t="n">
        <x:f>SUM('초등학교+병설유치원(8월)'!W26:'초등학교+병설유치원(8월)'!AA26)</x:f>
        <x:v>11</x:v>
      </x:c>
      <x:c r="AK24" s="286" t="n">
        <x:f>SUM('초등학교+병설유치원(8월)'!AC26:'초등학교+병설유치원(8월)'!AG26)</x:f>
        <x:v>11</x:v>
      </x:c>
      <x:c r="AL24" s="286" t="n">
        <x:f>SUM('초등학교+병설유치원(8월)'!AI26:'초등학교+병설유치원(8월)'!AM26)</x:f>
        <x:v>11</x:v>
      </x:c>
      <x:c r="AM24" s="286" t="n">
        <x:f>SUM('초등학교+병설유치원(8월)'!AO26:'초등학교+병설유치원(8월)'!AS26)</x:f>
        <x:v>11</x:v>
      </x:c>
      <x:c r="AN24" s="286" t="n">
        <x:f>SUM('초등학교+병설유치원(8월)'!AU26:'초등학교+병설유치원(8월)'!AY26)</x:f>
        <x:v>11</x:v>
      </x:c>
      <x:c r="AO24" s="286" t="n">
        <x:f>SUM('초등학교+병설유치원(8월)'!BA26:'초등학교+병설유치원(8월)'!BE26)</x:f>
        <x:v>11</x:v>
      </x:c>
      <x:c r="AP24" s="286" t="n">
        <x:f>SUM('초등학교+병설유치원(8월)'!BG26:'초등학교+병설유치원(8월)'!BK26)</x:f>
        <x:v>11</x:v>
      </x:c>
      <x:c r="AQ24" s="286" t="n">
        <x:f>SUM('초등학교+병설유치원(8월)'!BM26:'초등학교+병설유치원(8월)'!BQ26)</x:f>
        <x:v>11</x:v>
      </x:c>
      <x:c r="AR24" s="286" t="n">
        <x:f>SUM('초등학교+병설유치원(8월)'!BS26:'초등학교+병설유치원(8월)'!BW26)</x:f>
        <x:v>11</x:v>
      </x:c>
      <x:c r="AS24" s="286" t="n">
        <x:f>SUM('초등학교+병설유치원(8월)'!BY26:'초등학교+병설유치원(8월)'!CC26)</x:f>
        <x:v>11</x:v>
      </x:c>
      <x:c r="AT24" s="286" t="n">
        <x:f>SUM('초등학교+병설유치원(8월)'!CE26:'초등학교+병설유치원(8월)'!CI26)</x:f>
        <x:v>12</x:v>
      </x:c>
      <x:c r="AU24" s="286" t="n">
        <x:f>SUM('초등학교+병설유치원(8월)'!CK26:'초등학교+병설유치원(8월)'!CO26)</x:f>
        <x:v>12</x:v>
      </x:c>
      <x:c r="AV24" s="286" t="n">
        <x:f>SUM('초등학교+병설유치원(8월)'!CQ26:'초등학교+병설유치원(8월)'!CU26)</x:f>
        <x:v>12</x:v>
      </x:c>
      <x:c r="AW24" s="286" t="n">
        <x:f>SUM('초등학교+병설유치원(8월)'!CW26:'초등학교+병설유치원(8월)'!DA26)</x:f>
        <x:v>12</x:v>
      </x:c>
      <x:c r="AX24" s="286" t="n">
        <x:f>SUM('초등학교+병설유치원(8월)'!DC26:'초등학교+병설유치원(8월)'!DG26)</x:f>
        <x:v>0</x:v>
      </x:c>
      <x:c r="AY24" s="286" t="n">
        <x:f>SUM('초등학교+병설유치원(8월)'!DI26:'초등학교+병설유치원(8월)'!DM26)</x:f>
        <x:v>0</x:v>
      </x:c>
      <x:c r="AZ24" s="286" t="n">
        <x:f>SUM('초등학교+병설유치원(8월)'!DO26:'초등학교+병설유치원(8월)'!DS26)</x:f>
        <x:v>0</x:v>
      </x:c>
      <x:c r="BA24" s="286" t="n">
        <x:f>SUM('초등학교+병설유치원(8월)'!DU26:'초등학교+병설유치원(8월)'!DY26)</x:f>
        <x:v>0</x:v>
      </x:c>
      <x:c r="BB24" s="286" t="n">
        <x:f>SUM('초등학교+병설유치원(8월)'!EA26:'초등학교+병설유치원(8월)'!EE26)</x:f>
        <x:v>0</x:v>
      </x:c>
    </x:row>
    <x:row r="25" ht="44" customHeight="1">
      <x:c r="A25" s="282" t="n">
        <x:f>IF('초등학교+병설유치원(7월)'!A27="","",'초등학교+병설유치원(7월)'!A27)</x:f>
        <x:v>15</x:v>
      </x:c>
      <x:c r="B25" s="282" t="str">
        <x:v>초등학교</x:v>
      </x:c>
      <x:c r="C25" s="282" t="str">
        <x:f>IF('초등학교+병설유치원(7월)'!B27="","",'초등학교+병설유치원(7월)'!B27)</x:f>
        <x:v>이리북일초</x:v>
      </x:c>
      <x:c r="D25" s="281" t="str">
        <x:f>IF('초등학교+병설유치원(7월)'!C27="","",'초등학교+병설유치원(7월)'!C27)</x:f>
        <x:v>익산시 동서로19길 100</x:v>
      </x:c>
      <x:c r="E25" s="281" t="str">
        <x:f>IF('초등학교+병설유치원(7월)'!D27="","",'초등학교+병설유치원(7월)'!D27)</x:f>
        <x:v>문현주
(070-7836-8174
010-4589-9616)</x:v>
      </x:c>
      <x:c r="F25" s="281" t="str">
        <x:f>IF('초등학교+병설유치원(7월)'!E27="","",'초등학교+병설유치원(7월)'!E27)</x:f>
        <x:v>이현명
(063-857-9728
010-5045-2290)</x:v>
      </x:c>
      <x:c r="G25" s="284" t="n">
        <x:f>IF('초등학교+병설유치원(7월)'!F27="","",'초등학교+병설유치원(7월)'!F27)</x:f>
        <x:v>16</x:v>
      </x:c>
      <x:c r="H25" s="284" t="n">
        <x:f>IF('초등학교+병설유치원(7월)'!G27="","",'초등학교+병설유치원(7월)'!G27)</x:f>
        <x:v>16</x:v>
      </x:c>
      <x:c r="I25" s="284" t="str">
        <x:f>IF('초등학교+병설유치원(7월)'!H27="","",'초등학교+병설유치원(7월)'!H27)</x:f>
      </x:c>
      <x:c r="J25" s="284" t="str">
        <x:f>IF('초등학교+병설유치원(7월)'!I27="","",'초등학교+병설유치원(7월)'!I27)</x:f>
      </x:c>
      <x:c r="K25" s="284" t="str">
        <x:f>IF('초등학교+병설유치원(7월)'!J27="","",'초등학교+병설유치원(7월)'!J27)</x:f>
      </x:c>
      <x:c r="L25" s="284" t="str">
        <x:f>IF('초등학교+병설유치원(7월)'!K27="","",'초등학교+병설유치원(7월)'!K27)</x:f>
      </x:c>
      <x:c r="M25" s="285" t="n">
        <x:f>IF('초등학교+병설유치원(7월)'!L27="","",'초등학교+병설유치원(7월)'!L27)</x:f>
        <x:v>0.5</x:v>
      </x:c>
      <x:c r="N25" s="281" t="str">
        <x:f>IF('초등학교+병설유치원(7월)'!M27="","",'초등학교+병설유치원(7월)'!M27)</x:f>
        <x:v>7.29.~8.19.
(13일)</x:v>
      </x:c>
      <x:c r="O25" s="281" t="str">
        <x:f>IF('초등학교+병설유치원(7월)'!N27="","",'초등학교+병설유치원(7월)'!N27)</x:f>
        <x:v>7.30.~7.31.</x:v>
      </x:c>
      <x:c r="P25" s="282" t="str">
        <x:f>IF('초등학교+병설유치원(7월)'!O27="","",'초등학교+병설유치원(7월)'!O27)</x:f>
        <x:v>13일</x:v>
      </x:c>
      <x:c r="Q25" s="282" t="str">
        <x:f>IF('초등학교+병설유치원(7월)'!P27="","",'초등학교+병설유치원(7월)'!P27)</x:f>
        <x:v>배식</x:v>
      </x:c>
      <x:c r="R25" s="281" t="str">
        <x:f>IF('초등학교+병설유치원(7월)'!CF27="","",'초등학교+병설유치원(7월)'!CF27)</x:f>
        <x:v>돌봄1반</x:v>
      </x:c>
      <x:c r="S25" s="281" t="str">
        <x:f>IF('초등학교+병설유치원(7월)'!CG27="","",'초등학교+병설유치원(7월)'!CG27)</x:f>
        <x:v>문현주</x:v>
      </x:c>
      <x:c r="T25" s="281" t="str">
        <x:f>IF('초등학교+병설유치원(7월)'!CH27="","",'초등학교+병설유치원(7월)'!CH27)</x:f>
      </x:c>
      <x:c r="U25" s="288" t="n">
        <x:f>SUM(X25:AH25)</x:f>
        <x:v>16</x:v>
      </x:c>
      <x:c r="V25" s="288" t="n">
        <x:f>SUM(AI25:BB25)</x:f>
        <x:v>192</x:v>
      </x:c>
      <x:c r="W25" s="288" t="n">
        <x:f>U25+V25</x:f>
        <x:v>208</x:v>
      </x:c>
      <x:c r="X25" s="286" t="n">
        <x:f>SUM('초등학교+병설유치원(7월)'!Q27:'초등학교+병설유치원(7월)'!U27)</x:f>
        <x:v>0</x:v>
      </x:c>
      <x:c r="Y25" s="286" t="n">
        <x:f>SUM('초등학교+병설유치원(7월)'!W27:'초등학교+병설유치원(7월)'!AA27)</x:f>
        <x:v>0</x:v>
      </x:c>
      <x:c r="Z25" s="286" t="n">
        <x:f>SUM('초등학교+병설유치원(7월)'!AC27:'초등학교+병설유치원(7월)'!AG27)</x:f>
        <x:v>0</x:v>
      </x:c>
      <x:c r="AA25" s="286" t="n">
        <x:f>SUM('초등학교+병설유치원(7월)'!AI27:'초등학교+병설유치원(7월)'!AM27)</x:f>
        <x:v>0</x:v>
      </x:c>
      <x:c r="AB25" s="286" t="n">
        <x:f>SUM('초등학교+병설유치원(7월)'!AO27:'초등학교+병설유치원(7월)'!AS27)</x:f>
        <x:v>0</x:v>
      </x:c>
      <x:c r="AC25" s="286" t="n">
        <x:f>SUM('초등학교+병설유치원(7월)'!AU27:'초등학교+병설유치원(7월)'!AY27)</x:f>
        <x:v>0</x:v>
      </x:c>
      <x:c r="AD25" s="286" t="n">
        <x:f>SUM('초등학교+병설유치원(7월)'!BA27:'초등학교+병설유치원(7월)'!BE27)</x:f>
        <x:v>0</x:v>
      </x:c>
      <x:c r="AE25" s="286" t="n">
        <x:f>SUM('초등학교+병설유치원(7월)'!BG27:'초등학교+병설유치원(7월)'!BK27)</x:f>
        <x:v>0</x:v>
      </x:c>
      <x:c r="AF25" s="286" t="n">
        <x:f>SUM('초등학교+병설유치원(7월)'!BM27:'초등학교+병설유치원(7월)'!BQ27)</x:f>
        <x:v>16</x:v>
      </x:c>
      <x:c r="AG25" s="286" t="n">
        <x:f>SUM('초등학교+병설유치원(7월)'!BS27:'초등학교+병설유치원(7월)'!BW27)</x:f>
        <x:v>0</x:v>
      </x:c>
      <x:c r="AH25" s="286" t="n">
        <x:f>SUM('초등학교+병설유치원(7월)'!BY27:'초등학교+병설유치원(7월)'!CC27)</x:f>
        <x:v>0</x:v>
      </x:c>
      <x:c r="AI25" s="286" t="n">
        <x:f>SUM('초등학교+병설유치원(8월)'!Q27:'초등학교+병설유치원(8월)'!U27)</x:f>
        <x:v>16</x:v>
      </x:c>
      <x:c r="AJ25" s="286" t="n">
        <x:f>SUM('초등학교+병설유치원(8월)'!W27:'초등학교+병설유치원(8월)'!AA27)</x:f>
        <x:v>16</x:v>
      </x:c>
      <x:c r="AK25" s="286" t="n">
        <x:f>SUM('초등학교+병설유치원(8월)'!AC27:'초등학교+병설유치원(8월)'!AG27)</x:f>
        <x:v>16</x:v>
      </x:c>
      <x:c r="AL25" s="286" t="n">
        <x:f>SUM('초등학교+병설유치원(8월)'!AI27:'초등학교+병설유치원(8월)'!AM27)</x:f>
        <x:v>16</x:v>
      </x:c>
      <x:c r="AM25" s="286" t="n">
        <x:f>SUM('초등학교+병설유치원(8월)'!AO27:'초등학교+병설유치원(8월)'!AS27)</x:f>
        <x:v>16</x:v>
      </x:c>
      <x:c r="AN25" s="286" t="n">
        <x:f>SUM('초등학교+병설유치원(8월)'!AU27:'초등학교+병설유치원(8월)'!AY27)</x:f>
        <x:v>16</x:v>
      </x:c>
      <x:c r="AO25" s="286" t="n">
        <x:f>SUM('초등학교+병설유치원(8월)'!BA27:'초등학교+병설유치원(8월)'!BE27)</x:f>
        <x:v>16</x:v>
      </x:c>
      <x:c r="AP25" s="286" t="n">
        <x:f>SUM('초등학교+병설유치원(8월)'!BG27:'초등학교+병설유치원(8월)'!BK27)</x:f>
        <x:v>16</x:v>
      </x:c>
      <x:c r="AQ25" s="286" t="n">
        <x:f>SUM('초등학교+병설유치원(8월)'!BM27:'초등학교+병설유치원(8월)'!BQ27)</x:f>
        <x:v>16</x:v>
      </x:c>
      <x:c r="AR25" s="286" t="n">
        <x:f>SUM('초등학교+병설유치원(8월)'!BS27:'초등학교+병설유치원(8월)'!BW27)</x:f>
        <x:v>16</x:v>
      </x:c>
      <x:c r="AS25" s="286" t="n">
        <x:f>SUM('초등학교+병설유치원(8월)'!BY27:'초등학교+병설유치원(8월)'!CC27)</x:f>
        <x:v>16</x:v>
      </x:c>
      <x:c r="AT25" s="286" t="n">
        <x:f>SUM('초등학교+병설유치원(8월)'!CE27:'초등학교+병설유치원(8월)'!CI27)</x:f>
        <x:v>16</x:v>
      </x:c>
      <x:c r="AU25" s="286" t="n">
        <x:f>SUM('초등학교+병설유치원(8월)'!CK27:'초등학교+병설유치원(8월)'!CO27)</x:f>
        <x:v>0</x:v>
      </x:c>
      <x:c r="AV25" s="286" t="n">
        <x:f>SUM('초등학교+병설유치원(8월)'!CQ27:'초등학교+병설유치원(8월)'!CU27)</x:f>
        <x:v>0</x:v>
      </x:c>
      <x:c r="AW25" s="286" t="n">
        <x:f>SUM('초등학교+병설유치원(8월)'!CW27:'초등학교+병설유치원(8월)'!DA27)</x:f>
        <x:v>0</x:v>
      </x:c>
      <x:c r="AX25" s="286" t="n">
        <x:f>SUM('초등학교+병설유치원(8월)'!DC27:'초등학교+병설유치원(8월)'!DG27)</x:f>
        <x:v>0</x:v>
      </x:c>
      <x:c r="AY25" s="286" t="n">
        <x:f>SUM('초등학교+병설유치원(8월)'!DI27:'초등학교+병설유치원(8월)'!DM27)</x:f>
        <x:v>0</x:v>
      </x:c>
      <x:c r="AZ25" s="286" t="n">
        <x:f>SUM('초등학교+병설유치원(8월)'!DO27:'초등학교+병설유치원(8월)'!DS27)</x:f>
        <x:v>0</x:v>
      </x:c>
      <x:c r="BA25" s="286" t="n">
        <x:f>SUM('초등학교+병설유치원(8월)'!DU27:'초등학교+병설유치원(8월)'!DY27)</x:f>
        <x:v>0</x:v>
      </x:c>
      <x:c r="BB25" s="286" t="n">
        <x:f>SUM('초등학교+병설유치원(8월)'!EA27:'초등학교+병설유치원(8월)'!EE27)</x:f>
        <x:v>0</x:v>
      </x:c>
    </x:row>
    <x:row r="26" ht="44" customHeight="1">
      <x:c r="A26" s="282" t="n">
        <x:f>IF('초등학교+병설유치원(7월)'!A28="","",'초등학교+병설유치원(7월)'!A28)</x:f>
        <x:v>16</x:v>
      </x:c>
      <x:c r="B26" s="282" t="str">
        <x:v>초등학교</x:v>
      </x:c>
      <x:c r="C26" s="282" t="str">
        <x:f>IF('초등학교+병설유치원(7월)'!B28="","",'초등학교+병설유치원(7월)'!B28)</x:f>
        <x:v>이리북초</x:v>
      </x:c>
      <x:c r="D26" s="281" t="str">
        <x:f>IF('초등학교+병설유치원(7월)'!C28="","",'초등학교+병설유치원(7월)'!C28)</x:f>
        <x:v>익산시 인북로 58길 11</x:v>
      </x:c>
      <x:c r="E26" s="281" t="str">
        <x:f>IF('초등학교+병설유치원(7월)'!D28="","",'초등학교+병설유치원(7월)'!D28)</x:f>
        <x:v>한연희
(070-4811-0980
010-2977-7001)</x:v>
      </x:c>
      <x:c r="F26" s="281" t="str">
        <x:f>IF('초등학교+병설유치원(7월)'!E28="","",'초등학교+병설유치원(7월)'!E28)</x:f>
        <x:v>한연희
(070-4811-0980
010-2977-7001)</x:v>
      </x:c>
      <x:c r="G26" s="284" t="n">
        <x:f>IF('초등학교+병설유치원(7월)'!F28="","",'초등학교+병설유치원(7월)'!F28)</x:f>
        <x:v>17</x:v>
      </x:c>
      <x:c r="H26" s="284" t="n">
        <x:f>IF('초등학교+병설유치원(7월)'!G28="","",'초등학교+병설유치원(7월)'!G28)</x:f>
        <x:v>17</x:v>
      </x:c>
      <x:c r="I26" s="284" t="str">
        <x:f>IF('초등학교+병설유치원(7월)'!H28="","",'초등학교+병설유치원(7월)'!H28)</x:f>
      </x:c>
      <x:c r="J26" s="284" t="str">
        <x:f>IF('초등학교+병설유치원(7월)'!I28="","",'초등학교+병설유치원(7월)'!I28)</x:f>
      </x:c>
      <x:c r="K26" s="284" t="str">
        <x:f>IF('초등학교+병설유치원(7월)'!J28="","",'초등학교+병설유치원(7월)'!J28)</x:f>
      </x:c>
      <x:c r="L26" s="284" t="str">
        <x:f>IF('초등학교+병설유치원(7월)'!K28="","",'초등학교+병설유치원(7월)'!K28)</x:f>
      </x:c>
      <x:c r="M26" s="285" t="n">
        <x:f>IF('초등학교+병설유치원(7월)'!L28="","",'초등학교+병설유치원(7월)'!L28)</x:f>
        <x:v>0.5</x:v>
      </x:c>
      <x:c r="N26" s="281" t="str">
        <x:f>IF('초등학교+병설유치원(7월)'!M28="","",'초등학교+병설유치원(7월)'!M28)</x:f>
        <x:v>7.27.~8.12.
(13일)</x:v>
      </x:c>
      <x:c r="O26" s="281" t="str">
        <x:f>IF('초등학교+병설유치원(7월)'!N28="","",'초등학교+병설유치원(7월)'!N28)</x:f>
      </x:c>
      <x:c r="P26" s="282" t="str">
        <x:f>IF('초등학교+병설유치원(7월)'!O28="","",'초등학교+병설유치원(7월)'!O28)</x:f>
        <x:v>13일</x:v>
      </x:c>
      <x:c r="Q26" s="282" t="str">
        <x:f>IF('초등학교+병설유치원(7월)'!P28="","",'초등학교+병설유치원(7월)'!P28)</x:f>
        <x:v>배식</x:v>
      </x:c>
      <x:c r="R26" s="281" t="str">
        <x:f>IF('초등학교+병설유치원(7월)'!CF28="","",'초등학교+병설유치원(7월)'!CF28)</x:f>
        <x:v>돌봄2반</x:v>
      </x:c>
      <x:c r="S26" s="281" t="str">
        <x:f>IF('초등학교+병설유치원(7월)'!CG28="","",'초등학교+병설유치원(7월)'!CG28)</x:f>
        <x:v>한연희</x:v>
      </x:c>
      <x:c r="T26" s="281" t="str">
        <x:f>IF('초등학교+병설유치원(7월)'!CH28="","",'초등학교+병설유치원(7월)'!CH28)</x:f>
      </x:c>
      <x:c r="U26" s="288" t="n">
        <x:f>SUM(X26:AH26)</x:f>
        <x:v>85</x:v>
      </x:c>
      <x:c r="V26" s="288" t="n">
        <x:f>SUM(AI26:BB26)</x:f>
        <x:v>136</x:v>
      </x:c>
      <x:c r="W26" s="288" t="n">
        <x:f>U26+V26</x:f>
        <x:v>221</x:v>
      </x:c>
      <x:c r="X26" s="286" t="n">
        <x:f>SUM('초등학교+병설유치원(7월)'!Q28:'초등학교+병설유치원(7월)'!U28)</x:f>
        <x:v>0</x:v>
      </x:c>
      <x:c r="Y26" s="286" t="n">
        <x:f>SUM('초등학교+병설유치원(7월)'!W28:'초등학교+병설유치원(7월)'!AA28)</x:f>
        <x:v>0</x:v>
      </x:c>
      <x:c r="Z26" s="286" t="n">
        <x:f>SUM('초등학교+병설유치원(7월)'!AC28:'초등학교+병설유치원(7월)'!AG28)</x:f>
        <x:v>0</x:v>
      </x:c>
      <x:c r="AA26" s="286" t="n">
        <x:f>SUM('초등학교+병설유치원(7월)'!AI28:'초등학교+병설유치원(7월)'!AM28)</x:f>
        <x:v>0</x:v>
      </x:c>
      <x:c r="AB26" s="286" t="n">
        <x:f>SUM('초등학교+병설유치원(7월)'!AO28:'초등학교+병설유치원(7월)'!AS28)</x:f>
        <x:v>0</x:v>
      </x:c>
      <x:c r="AC26" s="286" t="n">
        <x:f>SUM('초등학교+병설유치원(7월)'!AU28:'초등학교+병설유치원(7월)'!AY28)</x:f>
        <x:v>0</x:v>
      </x:c>
      <x:c r="AD26" s="286" t="n">
        <x:f>SUM('초등학교+병설유치원(7월)'!BA28:'초등학교+병설유치원(7월)'!BE28)</x:f>
        <x:v>17</x:v>
      </x:c>
      <x:c r="AE26" s="286" t="n">
        <x:f>SUM('초등학교+병설유치원(7월)'!BG28:'초등학교+병설유치원(7월)'!BK28)</x:f>
        <x:v>17</x:v>
      </x:c>
      <x:c r="AF26" s="286" t="n">
        <x:f>SUM('초등학교+병설유치원(7월)'!BM28:'초등학교+병설유치원(7월)'!BQ28)</x:f>
        <x:v>17</x:v>
      </x:c>
      <x:c r="AG26" s="286" t="n">
        <x:f>SUM('초등학교+병설유치원(7월)'!BS28:'초등학교+병설유치원(7월)'!BW28)</x:f>
        <x:v>17</x:v>
      </x:c>
      <x:c r="AH26" s="286" t="n">
        <x:f>SUM('초등학교+병설유치원(7월)'!BY28:'초등학교+병설유치원(7월)'!CC28)</x:f>
        <x:v>17</x:v>
      </x:c>
      <x:c r="AI26" s="286" t="n">
        <x:f>SUM('초등학교+병설유치원(8월)'!Q28:'초등학교+병설유치원(8월)'!U28)</x:f>
        <x:v>17</x:v>
      </x:c>
      <x:c r="AJ26" s="286" t="n">
        <x:f>SUM('초등학교+병설유치원(8월)'!W28:'초등학교+병설유치원(8월)'!AA28)</x:f>
        <x:v>17</x:v>
      </x:c>
      <x:c r="AK26" s="286" t="n">
        <x:f>SUM('초등학교+병설유치원(8월)'!AC28:'초등학교+병설유치원(8월)'!AG28)</x:f>
        <x:v>17</x:v>
      </x:c>
      <x:c r="AL26" s="286" t="n">
        <x:f>SUM('초등학교+병설유치원(8월)'!AI28:'초등학교+병설유치원(8월)'!AM28)</x:f>
        <x:v>17</x:v>
      </x:c>
      <x:c r="AM26" s="286" t="n">
        <x:f>SUM('초등학교+병설유치원(8월)'!AO28:'초등학교+병설유치원(8월)'!AS28)</x:f>
        <x:v>17</x:v>
      </x:c>
      <x:c r="AN26" s="286" t="n">
        <x:f>SUM('초등학교+병설유치원(8월)'!AU28:'초등학교+병설유치원(8월)'!AY28)</x:f>
        <x:v>17</x:v>
      </x:c>
      <x:c r="AO26" s="286" t="n">
        <x:f>SUM('초등학교+병설유치원(8월)'!BA28:'초등학교+병설유치원(8월)'!BE28)</x:f>
        <x:v>17</x:v>
      </x:c>
      <x:c r="AP26" s="286" t="n">
        <x:f>SUM('초등학교+병설유치원(8월)'!BG28:'초등학교+병설유치원(8월)'!BK28)</x:f>
        <x:v>17</x:v>
      </x:c>
      <x:c r="AQ26" s="286" t="n">
        <x:f>SUM('초등학교+병설유치원(8월)'!BM28:'초등학교+병설유치원(8월)'!BQ28)</x:f>
        <x:v>0</x:v>
      </x:c>
      <x:c r="AR26" s="286" t="n">
        <x:f>SUM('초등학교+병설유치원(8월)'!BS28:'초등학교+병설유치원(8월)'!BW28)</x:f>
        <x:v>0</x:v>
      </x:c>
      <x:c r="AS26" s="286" t="n">
        <x:f>SUM('초등학교+병설유치원(8월)'!BY28:'초등학교+병설유치원(8월)'!CC28)</x:f>
        <x:v>0</x:v>
      </x:c>
      <x:c r="AT26" s="286" t="n">
        <x:f>SUM('초등학교+병설유치원(8월)'!CE28:'초등학교+병설유치원(8월)'!CI28)</x:f>
        <x:v>0</x:v>
      </x:c>
      <x:c r="AU26" s="286" t="n">
        <x:f>SUM('초등학교+병설유치원(8월)'!CK28:'초등학교+병설유치원(8월)'!CO28)</x:f>
        <x:v>0</x:v>
      </x:c>
      <x:c r="AV26" s="286" t="n">
        <x:f>SUM('초등학교+병설유치원(8월)'!CQ28:'초등학교+병설유치원(8월)'!CU28)</x:f>
        <x:v>0</x:v>
      </x:c>
      <x:c r="AW26" s="286" t="n">
        <x:f>SUM('초등학교+병설유치원(8월)'!CW28:'초등학교+병설유치원(8월)'!DA28)</x:f>
        <x:v>0</x:v>
      </x:c>
      <x:c r="AX26" s="286" t="n">
        <x:f>SUM('초등학교+병설유치원(8월)'!DC28:'초등학교+병설유치원(8월)'!DG28)</x:f>
        <x:v>0</x:v>
      </x:c>
      <x:c r="AY26" s="286" t="n">
        <x:f>SUM('초등학교+병설유치원(8월)'!DI28:'초등학교+병설유치원(8월)'!DM28)</x:f>
        <x:v>0</x:v>
      </x:c>
      <x:c r="AZ26" s="286" t="n">
        <x:f>SUM('초등학교+병설유치원(8월)'!DO28:'초등학교+병설유치원(8월)'!DS28)</x:f>
        <x:v>0</x:v>
      </x:c>
      <x:c r="BA26" s="286" t="n">
        <x:f>SUM('초등학교+병설유치원(8월)'!DU28:'초등학교+병설유치원(8월)'!DY28)</x:f>
        <x:v>0</x:v>
      </x:c>
      <x:c r="BB26" s="286" t="n">
        <x:f>SUM('초등학교+병설유치원(8월)'!EA28:'초등학교+병설유치원(8월)'!EE28)</x:f>
        <x:v>0</x:v>
      </x:c>
    </x:row>
    <x:row r="27" ht="44" customHeight="1">
      <x:c r="A27" s="282" t="str">
        <x:f>IF('초등학교+병설유치원(7월)'!A29="","",'초등학교+병설유치원(7월)'!A29)</x:f>
        <x:v>16-1</x:v>
      </x:c>
      <x:c r="B27" s="282" t="str">
        <x:v>병설유치원</x:v>
      </x:c>
      <x:c r="C27" s="282" t="str">
        <x:f>IF('초등학교+병설유치원(7월)'!B29="","",'초등학교+병설유치원(7월)'!B29)</x:f>
        <x:v>이리북초 병설유치원</x:v>
      </x:c>
      <x:c r="D27" s="281" t="str">
        <x:f>IF('초등학교+병설유치원(7월)'!C29="","",'초등학교+병설유치원(7월)'!C29)</x:f>
        <x:v>익산시 인북로58길 11</x:v>
      </x:c>
      <x:c r="E27" s="281" t="str">
        <x:f>IF('초등학교+병설유치원(7월)'!D29="","",'초등학교+병설유치원(7월)'!D29)</x:f>
        <x:v>063-852-4845</x:v>
      </x:c>
      <x:c r="F27" s="281" t="str">
        <x:f>IF('초등학교+병설유치원(7월)'!E29="","",'초등학교+병설유치원(7월)'!E29)</x:f>
        <x:v>김정은
(010-9877-1021)</x:v>
      </x:c>
      <x:c r="G27" s="284" t="n">
        <x:f>IF('초등학교+병설유치원(7월)'!F29="","",'초등학교+병설유치원(7월)'!F29)</x:f>
        <x:v>3</x:v>
      </x:c>
      <x:c r="H27" s="284" t="n">
        <x:f>IF('초등학교+병설유치원(7월)'!G29="","",'초등학교+병설유치원(7월)'!G29)</x:f>
        <x:v>3</x:v>
      </x:c>
      <x:c r="I27" s="284" t="str">
        <x:f>IF('초등학교+병설유치원(7월)'!H29="","",'초등학교+병설유치원(7월)'!H29)</x:f>
      </x:c>
      <x:c r="J27" s="284" t="str">
        <x:f>IF('초등학교+병설유치원(7월)'!I29="","",'초등학교+병설유치원(7월)'!I29)</x:f>
      </x:c>
      <x:c r="K27" s="284" t="str">
        <x:f>IF('초등학교+병설유치원(7월)'!J29="","",'초등학교+병설유치원(7월)'!J29)</x:f>
      </x:c>
      <x:c r="L27" s="284" t="str">
        <x:f>IF('초등학교+병설유치원(7월)'!K29="","",'초등학교+병설유치원(7월)'!K29)</x:f>
      </x:c>
      <x:c r="M27" s="285" t="n">
        <x:f>IF('초등학교+병설유치원(7월)'!L29="","",'초등학교+병설유치원(7월)'!L29)</x:f>
        <x:v>0.4895833333333333</x:v>
      </x:c>
      <x:c r="N27" s="281" t="str">
        <x:f>IF('초등학교+병설유치원(7월)'!M29="","",'초등학교+병설유치원(7월)'!M29)</x:f>
        <x:v>7.27.~8.12.(13일)</x:v>
      </x:c>
      <x:c r="O27" s="281" t="str">
        <x:f>IF('초등학교+병설유치원(7월)'!N29="","",'초등학교+병설유치원(7월)'!N29)</x:f>
      </x:c>
      <x:c r="P27" s="282" t="str">
        <x:f>IF('초등학교+병설유치원(7월)'!O29="","",'초등학교+병설유치원(7월)'!O29)</x:f>
        <x:v>13일</x:v>
      </x:c>
      <x:c r="Q27" s="282" t="str">
        <x:f>IF('초등학교+병설유치원(7월)'!P29="","",'초등학교+병설유치원(7월)'!P29)</x:f>
        <x:v>도시락</x:v>
      </x:c>
      <x:c r="R27" s="281" t="str">
        <x:f>IF('초등학교+병설유치원(7월)'!CF29="","",'초등학교+병설유치원(7월)'!CF29)</x:f>
        <x:v>초등돌봄</x:v>
      </x:c>
      <x:c r="S27" s="281" t="str">
        <x:f>IF('초등학교+병설유치원(7월)'!CG29="","",'초등학교+병설유치원(7월)'!CG29)</x:f>
        <x:v>이유미</x:v>
      </x:c>
      <x:c r="T27" s="281" t="str">
        <x:f>IF('초등학교+병설유치원(7월)'!CH29="","",'초등학교+병설유치원(7월)'!CH29)</x:f>
      </x:c>
      <x:c r="U27" s="288" t="n">
        <x:f>SUM(X27:AH27)</x:f>
        <x:v>15</x:v>
      </x:c>
      <x:c r="V27" s="288" t="n">
        <x:f>SUM(AI27:BB27)</x:f>
        <x:v>24</x:v>
      </x:c>
      <x:c r="W27" s="288" t="n">
        <x:f>U27+V27</x:f>
        <x:v>39</x:v>
      </x:c>
      <x:c r="X27" s="286" t="n">
        <x:f>SUM('초등학교+병설유치원(7월)'!Q29:'초등학교+병설유치원(7월)'!U29)</x:f>
        <x:v>0</x:v>
      </x:c>
      <x:c r="Y27" s="286" t="n">
        <x:f>SUM('초등학교+병설유치원(7월)'!W29:'초등학교+병설유치원(7월)'!AA29)</x:f>
        <x:v>0</x:v>
      </x:c>
      <x:c r="Z27" s="286" t="n">
        <x:f>SUM('초등학교+병설유치원(7월)'!AC29:'초등학교+병설유치원(7월)'!AG29)</x:f>
        <x:v>0</x:v>
      </x:c>
      <x:c r="AA27" s="286" t="n">
        <x:f>SUM('초등학교+병설유치원(7월)'!AI29:'초등학교+병설유치원(7월)'!AM29)</x:f>
        <x:v>0</x:v>
      </x:c>
      <x:c r="AB27" s="286" t="n">
        <x:f>SUM('초등학교+병설유치원(7월)'!AO29:'초등학교+병설유치원(7월)'!AS29)</x:f>
        <x:v>0</x:v>
      </x:c>
      <x:c r="AC27" s="286" t="n">
        <x:f>SUM('초등학교+병설유치원(7월)'!AU29:'초등학교+병설유치원(7월)'!AY29)</x:f>
        <x:v>0</x:v>
      </x:c>
      <x:c r="AD27" s="286" t="n">
        <x:f>SUM('초등학교+병설유치원(7월)'!BA29:'초등학교+병설유치원(7월)'!BE29)</x:f>
        <x:v>3</x:v>
      </x:c>
      <x:c r="AE27" s="286" t="n">
        <x:f>SUM('초등학교+병설유치원(7월)'!BG29:'초등학교+병설유치원(7월)'!BK29)</x:f>
        <x:v>3</x:v>
      </x:c>
      <x:c r="AF27" s="286" t="n">
        <x:f>SUM('초등학교+병설유치원(7월)'!BM29:'초등학교+병설유치원(7월)'!BQ29)</x:f>
        <x:v>3</x:v>
      </x:c>
      <x:c r="AG27" s="286" t="n">
        <x:f>SUM('초등학교+병설유치원(7월)'!BS29:'초등학교+병설유치원(7월)'!BW29)</x:f>
        <x:v>3</x:v>
      </x:c>
      <x:c r="AH27" s="286" t="n">
        <x:f>SUM('초등학교+병설유치원(7월)'!BY29:'초등학교+병설유치원(7월)'!CC29)</x:f>
        <x:v>3</x:v>
      </x:c>
      <x:c r="AI27" s="286" t="n">
        <x:f>SUM('초등학교+병설유치원(8월)'!Q29:'초등학교+병설유치원(8월)'!U29)</x:f>
        <x:v>3</x:v>
      </x:c>
      <x:c r="AJ27" s="286" t="n">
        <x:f>SUM('초등학교+병설유치원(8월)'!W29:'초등학교+병설유치원(8월)'!AA29)</x:f>
        <x:v>3</x:v>
      </x:c>
      <x:c r="AK27" s="286" t="n">
        <x:f>SUM('초등학교+병설유치원(8월)'!AC29:'초등학교+병설유치원(8월)'!AG29)</x:f>
        <x:v>3</x:v>
      </x:c>
      <x:c r="AL27" s="286" t="n">
        <x:f>SUM('초등학교+병설유치원(8월)'!AI29:'초등학교+병설유치원(8월)'!AM29)</x:f>
        <x:v>3</x:v>
      </x:c>
      <x:c r="AM27" s="286" t="n">
        <x:f>SUM('초등학교+병설유치원(8월)'!AO29:'초등학교+병설유치원(8월)'!AS29)</x:f>
        <x:v>3</x:v>
      </x:c>
      <x:c r="AN27" s="286" t="n">
        <x:f>SUM('초등학교+병설유치원(8월)'!AU29:'초등학교+병설유치원(8월)'!AY29)</x:f>
        <x:v>3</x:v>
      </x:c>
      <x:c r="AO27" s="286" t="n">
        <x:f>SUM('초등학교+병설유치원(8월)'!BA29:'초등학교+병설유치원(8월)'!BE29)</x:f>
        <x:v>3</x:v>
      </x:c>
      <x:c r="AP27" s="286" t="n">
        <x:f>SUM('초등학교+병설유치원(8월)'!BG29:'초등학교+병설유치원(8월)'!BK29)</x:f>
        <x:v>3</x:v>
      </x:c>
      <x:c r="AQ27" s="286" t="n">
        <x:f>SUM('초등학교+병설유치원(8월)'!BM29:'초등학교+병설유치원(8월)'!BQ29)</x:f>
        <x:v>0</x:v>
      </x:c>
      <x:c r="AR27" s="286" t="n">
        <x:f>SUM('초등학교+병설유치원(8월)'!BS29:'초등학교+병설유치원(8월)'!BW29)</x:f>
        <x:v>0</x:v>
      </x:c>
      <x:c r="AS27" s="286" t="n">
        <x:f>SUM('초등학교+병설유치원(8월)'!BY29:'초등학교+병설유치원(8월)'!CC29)</x:f>
        <x:v>0</x:v>
      </x:c>
      <x:c r="AT27" s="286" t="n">
        <x:f>SUM('초등학교+병설유치원(8월)'!CE29:'초등학교+병설유치원(8월)'!CI29)</x:f>
        <x:v>0</x:v>
      </x:c>
      <x:c r="AU27" s="286" t="n">
        <x:f>SUM('초등학교+병설유치원(8월)'!CK29:'초등학교+병설유치원(8월)'!CO29)</x:f>
        <x:v>0</x:v>
      </x:c>
      <x:c r="AV27" s="286" t="n">
        <x:f>SUM('초등학교+병설유치원(8월)'!CQ29:'초등학교+병설유치원(8월)'!CU29)</x:f>
        <x:v>0</x:v>
      </x:c>
      <x:c r="AW27" s="286" t="n">
        <x:f>SUM('초등학교+병설유치원(8월)'!CW29:'초등학교+병설유치원(8월)'!DA29)</x:f>
        <x:v>0</x:v>
      </x:c>
      <x:c r="AX27" s="286" t="n">
        <x:f>SUM('초등학교+병설유치원(8월)'!DC29:'초등학교+병설유치원(8월)'!DG29)</x:f>
        <x:v>0</x:v>
      </x:c>
      <x:c r="AY27" s="286" t="n">
        <x:f>SUM('초등학교+병설유치원(8월)'!DI29:'초등학교+병설유치원(8월)'!DM29)</x:f>
        <x:v>0</x:v>
      </x:c>
      <x:c r="AZ27" s="286" t="n">
        <x:f>SUM('초등학교+병설유치원(8월)'!DO29:'초등학교+병설유치원(8월)'!DS29)</x:f>
        <x:v>0</x:v>
      </x:c>
      <x:c r="BA27" s="286" t="n">
        <x:f>SUM('초등학교+병설유치원(8월)'!DU29:'초등학교+병설유치원(8월)'!DY29)</x:f>
        <x:v>0</x:v>
      </x:c>
      <x:c r="BB27" s="286" t="n">
        <x:f>SUM('초등학교+병설유치원(8월)'!EA29:'초등학교+병설유치원(8월)'!EE29)</x:f>
        <x:v>0</x:v>
      </x:c>
    </x:row>
    <x:row r="28" ht="44" customHeight="1">
      <x:c r="A28" s="282" t="n">
        <x:f>IF('초등학교+병설유치원(7월)'!A30="","",'초등학교+병설유치원(7월)'!A30)</x:f>
        <x:v>17</x:v>
      </x:c>
      <x:c r="B28" s="282" t="str">
        <x:v>초등학교</x:v>
      </x:c>
      <x:c r="C28" s="282" t="str">
        <x:f>IF('초등학교+병설유치원(7월)'!B30="","",'초등학교+병설유치원(7월)'!B30)</x:f>
        <x:v>이리삼성초</x:v>
      </x:c>
      <x:c r="D28" s="281" t="str">
        <x:f>IF('초등학교+병설유치원(7월)'!C30="","",'초등학교+병설유치원(7월)'!C30)</x:f>
        <x:v>익산시 하나로 15길 17-7</x:v>
      </x:c>
      <x:c r="E28" s="281" t="str">
        <x:f>IF('초등학교+병설유치원(7월)'!D30="","",'초등학교+병설유치원(7월)'!D30)</x:f>
        <x:v>최정희
(063-834-1048
010-4653-6312)</x:v>
      </x:c>
      <x:c r="F28" s="281" t="str">
        <x:f>IF('초등학교+병설유치원(7월)'!E30="","",'초등학교+병설유치원(7월)'!E30)</x:f>
        <x:v>최유진
(063-834-0116)</x:v>
      </x:c>
      <x:c r="G28" s="284" t="n">
        <x:f>IF('초등학교+병설유치원(7월)'!F30="","",'초등학교+병설유치원(7월)'!F30)</x:f>
        <x:v>16</x:v>
      </x:c>
      <x:c r="H28" s="284" t="n">
        <x:f>IF('초등학교+병설유치원(7월)'!G30="","",'초등학교+병설유치원(7월)'!G30)</x:f>
        <x:v>16</x:v>
      </x:c>
      <x:c r="I28" s="284" t="str">
        <x:f>IF('초등학교+병설유치원(7월)'!H30="","",'초등학교+병설유치원(7월)'!H30)</x:f>
      </x:c>
      <x:c r="J28" s="284" t="str">
        <x:f>IF('초등학교+병설유치원(7월)'!I30="","",'초등학교+병설유치원(7월)'!I30)</x:f>
      </x:c>
      <x:c r="K28" s="284" t="str">
        <x:f>IF('초등학교+병설유치원(7월)'!J30="","",'초등학교+병설유치원(7월)'!J30)</x:f>
      </x:c>
      <x:c r="L28" s="284" t="str">
        <x:f>IF('초등학교+병설유치원(7월)'!K30="","",'초등학교+병설유치원(7월)'!K30)</x:f>
      </x:c>
      <x:c r="M28" s="285" t="n">
        <x:f>IF('초등학교+병설유치원(7월)'!L30="","",'초등학교+병설유치원(7월)'!L30)</x:f>
        <x:v>0.4791666666666667</x:v>
      </x:c>
      <x:c r="N28" s="281" t="str">
        <x:f>IF('초등학교+병설유치원(7월)'!M30="","",'초등학교+병설유치원(7월)'!M30)</x:f>
        <x:v>8.3.~8.21.
(14일)</x:v>
      </x:c>
      <x:c r="O28" s="281" t="str">
        <x:f>IF('초등학교+병설유치원(7월)'!N30="","",'초등학교+병설유치원(7월)'!N30)</x:f>
      </x:c>
      <x:c r="P28" s="282" t="str">
        <x:f>IF('초등학교+병설유치원(7월)'!O30="","",'초등학교+병설유치원(7월)'!O30)</x:f>
        <x:v>14일</x:v>
      </x:c>
      <x:c r="Q28" s="282" t="str">
        <x:f>IF('초등학교+병설유치원(7월)'!P30="","",'초등학교+병설유치원(7월)'!P30)</x:f>
        <x:v>배식</x:v>
      </x:c>
      <x:c r="R28" s="281" t="str">
        <x:f>IF('초등학교+병설유치원(7월)'!CF30="","",'초등학교+병설유치원(7월)'!CF30)</x:f>
        <x:v>돌봄1반</x:v>
      </x:c>
      <x:c r="S28" s="281" t="str">
        <x:f>IF('초등학교+병설유치원(7월)'!CG30="","",'초등학교+병설유치원(7월)'!CG30)</x:f>
        <x:v>최정희</x:v>
      </x:c>
      <x:c r="T28" s="281" t="str">
        <x:f>IF('초등학교+병설유치원(7월)'!CH30="","",'초등학교+병설유치원(7월)'!CH30)</x:f>
      </x:c>
      <x:c r="U28" s="288" t="n">
        <x:f>SUM(X28:AH28)</x:f>
        <x:v>0</x:v>
      </x:c>
      <x:c r="V28" s="288" t="n">
        <x:f>SUM(AI28:BB28)</x:f>
        <x:v>224</x:v>
      </x:c>
      <x:c r="W28" s="288" t="n">
        <x:f>U28+V28</x:f>
        <x:v>224</x:v>
      </x:c>
      <x:c r="X28" s="286" t="n">
        <x:f>SUM('초등학교+병설유치원(7월)'!Q30:'초등학교+병설유치원(7월)'!U30)</x:f>
        <x:v>0</x:v>
      </x:c>
      <x:c r="Y28" s="286" t="n">
        <x:f>SUM('초등학교+병설유치원(7월)'!W30:'초등학교+병설유치원(7월)'!AA30)</x:f>
        <x:v>0</x:v>
      </x:c>
      <x:c r="Z28" s="286" t="n">
        <x:f>SUM('초등학교+병설유치원(7월)'!AC30:'초등학교+병설유치원(7월)'!AG30)</x:f>
        <x:v>0</x:v>
      </x:c>
      <x:c r="AA28" s="286" t="n">
        <x:f>SUM('초등학교+병설유치원(7월)'!AI30:'초등학교+병설유치원(7월)'!AM30)</x:f>
        <x:v>0</x:v>
      </x:c>
      <x:c r="AB28" s="286" t="n">
        <x:f>SUM('초등학교+병설유치원(7월)'!AO30:'초등학교+병설유치원(7월)'!AS30)</x:f>
        <x:v>0</x:v>
      </x:c>
      <x:c r="AC28" s="286" t="n">
        <x:f>SUM('초등학교+병설유치원(7월)'!AU30:'초등학교+병설유치원(7월)'!AY30)</x:f>
        <x:v>0</x:v>
      </x:c>
      <x:c r="AD28" s="286" t="n">
        <x:f>SUM('초등학교+병설유치원(7월)'!BA30:'초등학교+병설유치원(7월)'!BE30)</x:f>
        <x:v>0</x:v>
      </x:c>
      <x:c r="AE28" s="286" t="n">
        <x:f>SUM('초등학교+병설유치원(7월)'!BG30:'초등학교+병설유치원(7월)'!BK30)</x:f>
        <x:v>0</x:v>
      </x:c>
      <x:c r="AF28" s="286" t="n">
        <x:f>SUM('초등학교+병설유치원(7월)'!BM30:'초등학교+병설유치원(7월)'!BQ30)</x:f>
        <x:v>0</x:v>
      </x:c>
      <x:c r="AG28" s="286" t="n">
        <x:f>SUM('초등학교+병설유치원(7월)'!BS30:'초등학교+병설유치원(7월)'!BW30)</x:f>
        <x:v>0</x:v>
      </x:c>
      <x:c r="AH28" s="286" t="n">
        <x:f>SUM('초등학교+병설유치원(7월)'!BY30:'초등학교+병설유치원(7월)'!CC30)</x:f>
        <x:v>0</x:v>
      </x:c>
      <x:c r="AI28" s="286" t="n">
        <x:f>SUM('초등학교+병설유치원(8월)'!Q30:'초등학교+병설유치원(8월)'!U30)</x:f>
        <x:v>16</x:v>
      </x:c>
      <x:c r="AJ28" s="286" t="n">
        <x:f>SUM('초등학교+병설유치원(8월)'!W30:'초등학교+병설유치원(8월)'!AA30)</x:f>
        <x:v>16</x:v>
      </x:c>
      <x:c r="AK28" s="286" t="n">
        <x:f>SUM('초등학교+병설유치원(8월)'!AC30:'초등학교+병설유치원(8월)'!AG30)</x:f>
        <x:v>16</x:v>
      </x:c>
      <x:c r="AL28" s="286" t="n">
        <x:f>SUM('초등학교+병설유치원(8월)'!AI30:'초등학교+병설유치원(8월)'!AM30)</x:f>
        <x:v>16</x:v>
      </x:c>
      <x:c r="AM28" s="286" t="n">
        <x:f>SUM('초등학교+병설유치원(8월)'!AO30:'초등학교+병설유치원(8월)'!AS30)</x:f>
        <x:v>16</x:v>
      </x:c>
      <x:c r="AN28" s="286" t="n">
        <x:f>SUM('초등학교+병설유치원(8월)'!AU30:'초등학교+병설유치원(8월)'!AY30)</x:f>
        <x:v>16</x:v>
      </x:c>
      <x:c r="AO28" s="286" t="n">
        <x:f>SUM('초등학교+병설유치원(8월)'!BA30:'초등학교+병설유치원(8월)'!BE30)</x:f>
        <x:v>16</x:v>
      </x:c>
      <x:c r="AP28" s="286" t="n">
        <x:f>SUM('초등학교+병설유치원(8월)'!BG30:'초등학교+병설유치원(8월)'!BK30)</x:f>
        <x:v>16</x:v>
      </x:c>
      <x:c r="AQ28" s="286" t="n">
        <x:f>SUM('초등학교+병설유치원(8월)'!BM30:'초등학교+병설유치원(8월)'!BQ30)</x:f>
        <x:v>16</x:v>
      </x:c>
      <x:c r="AR28" s="286" t="n">
        <x:f>SUM('초등학교+병설유치원(8월)'!BS30:'초등학교+병설유치원(8월)'!BW30)</x:f>
        <x:v>16</x:v>
      </x:c>
      <x:c r="AS28" s="286" t="n">
        <x:f>SUM('초등학교+병설유치원(8월)'!BY30:'초등학교+병설유치원(8월)'!CC30)</x:f>
        <x:v>16</x:v>
      </x:c>
      <x:c r="AT28" s="286" t="n">
        <x:f>SUM('초등학교+병설유치원(8월)'!CE30:'초등학교+병설유치원(8월)'!CI30)</x:f>
        <x:v>16</x:v>
      </x:c>
      <x:c r="AU28" s="286" t="n">
        <x:f>SUM('초등학교+병설유치원(8월)'!CK30:'초등학교+병설유치원(8월)'!CO30)</x:f>
        <x:v>16</x:v>
      </x:c>
      <x:c r="AV28" s="286" t="n">
        <x:f>SUM('초등학교+병설유치원(8월)'!CQ30:'초등학교+병설유치원(8월)'!CU30)</x:f>
        <x:v>16</x:v>
      </x:c>
      <x:c r="AW28" s="286" t="n">
        <x:f>SUM('초등학교+병설유치원(8월)'!CW30:'초등학교+병설유치원(8월)'!DA30)</x:f>
        <x:v>0</x:v>
      </x:c>
      <x:c r="AX28" s="286" t="n">
        <x:f>SUM('초등학교+병설유치원(8월)'!DC30:'초등학교+병설유치원(8월)'!DG30)</x:f>
        <x:v>0</x:v>
      </x:c>
      <x:c r="AY28" s="286" t="n">
        <x:f>SUM('초등학교+병설유치원(8월)'!DI30:'초등학교+병설유치원(8월)'!DM30)</x:f>
        <x:v>0</x:v>
      </x:c>
      <x:c r="AZ28" s="286" t="n">
        <x:f>SUM('초등학교+병설유치원(8월)'!DO30:'초등학교+병설유치원(8월)'!DS30)</x:f>
        <x:v>0</x:v>
      </x:c>
      <x:c r="BA28" s="286" t="n">
        <x:f>SUM('초등학교+병설유치원(8월)'!DU30:'초등학교+병설유치원(8월)'!DY30)</x:f>
        <x:v>0</x:v>
      </x:c>
      <x:c r="BB28" s="286" t="n">
        <x:f>SUM('초등학교+병설유치원(8월)'!EA30:'초등학교+병설유치원(8월)'!EE30)</x:f>
        <x:v>0</x:v>
      </x:c>
    </x:row>
    <x:row r="29" ht="44" customHeight="1">
      <x:c r="A29" s="282" t="n">
        <x:f>IF('초등학교+병설유치원(7월)'!A31="","",'초등학교+병설유치원(7월)'!A31)</x:f>
        <x:v>18</x:v>
      </x:c>
      <x:c r="B29" s="282" t="str">
        <x:v>초등학교</x:v>
      </x:c>
      <x:c r="C29" s="282" t="str">
        <x:f>IF('초등학교+병설유치원(7월)'!B31="","",'초등학교+병설유치원(7월)'!B31)</x:f>
        <x:v>이리서초</x:v>
      </x:c>
      <x:c r="D29" s="281" t="str">
        <x:f>IF('초등학교+병설유치원(7월)'!C31="","",'초등학교+병설유치원(7월)'!C31)</x:f>
        <x:v>익산시 익산대로 213</x:v>
      </x:c>
      <x:c r="E29" s="281" t="str">
        <x:f>IF('초등학교+병설유치원(7월)'!D31="","",'초등학교+병설유치원(7월)'!D31)</x:f>
        <x:v>설예숙
(063-841-8616
010-5467-3542)</x:v>
      </x:c>
      <x:c r="F29" s="281" t="str">
        <x:f>IF('초등학교+병설유치원(7월)'!E31="","",'초등학교+병설유치원(7월)'!E31)</x:f>
        <x:v>설예숙
(063-841-8616
010-5467-3542)</x:v>
      </x:c>
      <x:c r="G29" s="284" t="n">
        <x:f>IF('초등학교+병설유치원(7월)'!F31="","",'초등학교+병설유치원(7월)'!F31)</x:f>
        <x:v>41</x:v>
      </x:c>
      <x:c r="H29" s="284" t="n">
        <x:f>IF('초등학교+병설유치원(7월)'!G31="","",'초등학교+병설유치원(7월)'!G31)</x:f>
        <x:v>21</x:v>
      </x:c>
      <x:c r="I29" s="284" t="n">
        <x:f>IF('초등학교+병설유치원(7월)'!H31="","",'초등학교+병설유치원(7월)'!H31)</x:f>
        <x:v>20</x:v>
      </x:c>
      <x:c r="J29" s="284" t="str">
        <x:f>IF('초등학교+병설유치원(7월)'!I31="","",'초등학교+병설유치원(7월)'!I31)</x:f>
      </x:c>
      <x:c r="K29" s="284" t="str">
        <x:f>IF('초등학교+병설유치원(7월)'!J31="","",'초등학교+병설유치원(7월)'!J31)</x:f>
      </x:c>
      <x:c r="L29" s="284" t="str">
        <x:f>IF('초등학교+병설유치원(7월)'!K31="","",'초등학교+병설유치원(7월)'!K31)</x:f>
      </x:c>
      <x:c r="M29" s="285" t="n">
        <x:f>IF('초등학교+병설유치원(7월)'!L31="","",'초등학교+병설유치원(7월)'!L31)</x:f>
        <x:v>0.5</x:v>
      </x:c>
      <x:c r="N29" s="281" t="str">
        <x:f>IF('초등학교+병설유치원(7월)'!M31="","",'초등학교+병설유치원(7월)'!M31)</x:f>
        <x:v>7.28.~8.25.
(17일)</x:v>
      </x:c>
      <x:c r="O29" s="281" t="str">
        <x:f>IF('초등학교+병설유치원(7월)'!N31="","",'초등학교+병설유치원(7월)'!N31)</x:f>
        <x:v>7.29.~7.31.</x:v>
      </x:c>
      <x:c r="P29" s="282" t="str">
        <x:f>IF('초등학교+병설유치원(7월)'!O31="","",'초등학교+병설유치원(7월)'!O31)</x:f>
        <x:v>17일</x:v>
      </x:c>
      <x:c r="Q29" s="282" t="str">
        <x:f>IF('초등학교+병설유치원(7월)'!P31="","",'초등학교+병설유치원(7월)'!P31)</x:f>
        <x:v>배식</x:v>
      </x:c>
      <x:c r="R29" s="281" t="str">
        <x:f>IF('초등학교+병설유치원(7월)'!CF31="","",'초등학교+병설유치원(7월)'!CF31)</x:f>
        <x:v>돌봄1반</x:v>
      </x:c>
      <x:c r="S29" s="281" t="str">
        <x:f>IF('초등학교+병설유치원(7월)'!CG31="","",'초등학교+병설유치원(7월)'!CG31)</x:f>
        <x:v>설예숙</x:v>
      </x:c>
      <x:c r="T29" s="281" t="str">
        <x:f>IF('초등학교+병설유치원(7월)'!CH31="","",'초등학교+병설유치원(7월)'!CH31)</x:f>
      </x:c>
      <x:c r="U29" s="288" t="n">
        <x:f>SUM(X29:AH29)</x:f>
        <x:v>41</x:v>
      </x:c>
      <x:c r="V29" s="288" t="n">
        <x:f>SUM(AI29:BB29)</x:f>
        <x:v>656</x:v>
      </x:c>
      <x:c r="W29" s="288" t="n">
        <x:f>U29+V29</x:f>
        <x:v>697</x:v>
      </x:c>
      <x:c r="X29" s="286" t="n">
        <x:f>SUM('초등학교+병설유치원(7월)'!Q31:'초등학교+병설유치원(7월)'!U31)</x:f>
        <x:v>0</x:v>
      </x:c>
      <x:c r="Y29" s="286" t="n">
        <x:f>SUM('초등학교+병설유치원(7월)'!W31:'초등학교+병설유치원(7월)'!AA31)</x:f>
        <x:v>0</x:v>
      </x:c>
      <x:c r="Z29" s="286" t="n">
        <x:f>SUM('초등학교+병설유치원(7월)'!AC31:'초등학교+병설유치원(7월)'!AG31)</x:f>
        <x:v>0</x:v>
      </x:c>
      <x:c r="AA29" s="286" t="n">
        <x:f>SUM('초등학교+병설유치원(7월)'!AI31:'초등학교+병설유치원(7월)'!AM31)</x:f>
        <x:v>0</x:v>
      </x:c>
      <x:c r="AB29" s="286" t="n">
        <x:f>SUM('초등학교+병설유치원(7월)'!AO31:'초등학교+병설유치원(7월)'!AS31)</x:f>
        <x:v>0</x:v>
      </x:c>
      <x:c r="AC29" s="286" t="n">
        <x:f>SUM('초등학교+병설유치원(7월)'!AU31:'초등학교+병설유치원(7월)'!AY31)</x:f>
        <x:v>0</x:v>
      </x:c>
      <x:c r="AD29" s="286" t="n">
        <x:f>SUM('초등학교+병설유치원(7월)'!BA31:'초등학교+병설유치원(7월)'!BE31)</x:f>
        <x:v>0</x:v>
      </x:c>
      <x:c r="AE29" s="286" t="n">
        <x:f>SUM('초등학교+병설유치원(7월)'!BG31:'초등학교+병설유치원(7월)'!BK31)</x:f>
        <x:v>41</x:v>
      </x:c>
      <x:c r="AF29" s="286" t="n">
        <x:f>SUM('초등학교+병설유치원(7월)'!BM31:'초등학교+병설유치원(7월)'!BQ31)</x:f>
        <x:v>0</x:v>
      </x:c>
      <x:c r="AG29" s="286" t="n">
        <x:f>SUM('초등학교+병설유치원(7월)'!BS31:'초등학교+병설유치원(7월)'!BW31)</x:f>
        <x:v>0</x:v>
      </x:c>
      <x:c r="AH29" s="286" t="n">
        <x:f>SUM('초등학교+병설유치원(7월)'!BY31:'초등학교+병설유치원(7월)'!CC31)</x:f>
        <x:v>0</x:v>
      </x:c>
      <x:c r="AI29" s="286" t="n">
        <x:f>SUM('초등학교+병설유치원(8월)'!Q31:'초등학교+병설유치원(8월)'!U31)</x:f>
        <x:v>41</x:v>
      </x:c>
      <x:c r="AJ29" s="286" t="n">
        <x:f>SUM('초등학교+병설유치원(8월)'!W31:'초등학교+병설유치원(8월)'!AA31)</x:f>
        <x:v>41</x:v>
      </x:c>
      <x:c r="AK29" s="286" t="n">
        <x:f>SUM('초등학교+병설유치원(8월)'!AC31:'초등학교+병설유치원(8월)'!AG31)</x:f>
        <x:v>41</x:v>
      </x:c>
      <x:c r="AL29" s="286" t="n">
        <x:f>SUM('초등학교+병설유치원(8월)'!AI31:'초등학교+병설유치원(8월)'!AM31)</x:f>
        <x:v>41</x:v>
      </x:c>
      <x:c r="AM29" s="286" t="n">
        <x:f>SUM('초등학교+병설유치원(8월)'!AO31:'초등학교+병설유치원(8월)'!AS31)</x:f>
        <x:v>41</x:v>
      </x:c>
      <x:c r="AN29" s="286" t="n">
        <x:f>SUM('초등학교+병설유치원(8월)'!AU31:'초등학교+병설유치원(8월)'!AY31)</x:f>
        <x:v>41</x:v>
      </x:c>
      <x:c r="AO29" s="286" t="n">
        <x:f>SUM('초등학교+병설유치원(8월)'!BA31:'초등학교+병설유치원(8월)'!BE31)</x:f>
        <x:v>41</x:v>
      </x:c>
      <x:c r="AP29" s="286" t="n">
        <x:f>SUM('초등학교+병설유치원(8월)'!BG31:'초등학교+병설유치원(8월)'!BK31)</x:f>
        <x:v>41</x:v>
      </x:c>
      <x:c r="AQ29" s="286" t="n">
        <x:f>SUM('초등학교+병설유치원(8월)'!BM31:'초등학교+병설유치원(8월)'!BQ31)</x:f>
        <x:v>41</x:v>
      </x:c>
      <x:c r="AR29" s="286" t="n">
        <x:f>SUM('초등학교+병설유치원(8월)'!BS31:'초등학교+병설유치원(8월)'!BW31)</x:f>
        <x:v>41</x:v>
      </x:c>
      <x:c r="AS29" s="286" t="n">
        <x:f>SUM('초등학교+병설유치원(8월)'!BY31:'초등학교+병설유치원(8월)'!CC31)</x:f>
        <x:v>41</x:v>
      </x:c>
      <x:c r="AT29" s="286" t="n">
        <x:f>SUM('초등학교+병설유치원(8월)'!CE31:'초등학교+병설유치원(8월)'!CI31)</x:f>
        <x:v>41</x:v>
      </x:c>
      <x:c r="AU29" s="286" t="n">
        <x:f>SUM('초등학교+병설유치원(8월)'!CK31:'초등학교+병설유치원(8월)'!CO31)</x:f>
        <x:v>41</x:v>
      </x:c>
      <x:c r="AV29" s="286" t="n">
        <x:f>SUM('초등학교+병설유치원(8월)'!CQ31:'초등학교+병설유치원(8월)'!CU31)</x:f>
        <x:v>41</x:v>
      </x:c>
      <x:c r="AW29" s="286" t="n">
        <x:f>SUM('초등학교+병설유치원(8월)'!CW31:'초등학교+병설유치원(8월)'!DA31)</x:f>
        <x:v>41</x:v>
      </x:c>
      <x:c r="AX29" s="286" t="n">
        <x:f>SUM('초등학교+병설유치원(8월)'!DC31:'초등학교+병설유치원(8월)'!DG31)</x:f>
        <x:v>41</x:v>
      </x:c>
      <x:c r="AY29" s="286" t="n">
        <x:f>SUM('초등학교+병설유치원(8월)'!DI31:'초등학교+병설유치원(8월)'!DM31)</x:f>
        <x:v>0</x:v>
      </x:c>
      <x:c r="AZ29" s="286" t="n">
        <x:f>SUM('초등학교+병설유치원(8월)'!DO31:'초등학교+병설유치원(8월)'!DS31)</x:f>
        <x:v>0</x:v>
      </x:c>
      <x:c r="BA29" s="286" t="n">
        <x:f>SUM('초등학교+병설유치원(8월)'!DU31:'초등학교+병설유치원(8월)'!DY31)</x:f>
        <x:v>0</x:v>
      </x:c>
      <x:c r="BB29" s="286" t="n">
        <x:f>SUM('초등학교+병설유치원(8월)'!EA31:'초등학교+병설유치원(8월)'!EE31)</x:f>
        <x:v>0</x:v>
      </x:c>
    </x:row>
    <x:row r="30" ht="44" customHeight="1">
      <x:c r="A30" s="282" t="n">
        <x:f>IF('초등학교+병설유치원(7월)'!A32="","",'초등학교+병설유치원(7월)'!A32)</x:f>
        <x:v>19</x:v>
      </x:c>
      <x:c r="B30" s="282" t="str">
        <x:v>초등학교</x:v>
      </x:c>
      <x:c r="C30" s="282" t="str">
        <x:f>IF('초등학교+병설유치원(7월)'!B32="","",'초등학교+병설유치원(7월)'!B32)</x:f>
        <x:v>이리석암초</x:v>
      </x:c>
      <x:c r="D30" s="281" t="str">
        <x:f>IF('초등학교+병설유치원(7월)'!C32="","",'초등학교+병설유치원(7월)'!C32)</x:f>
        <x:v>익산시 서동로 46길 119</x:v>
      </x:c>
      <x:c r="E30" s="281" t="str">
        <x:f>IF('초등학교+병설유치원(7월)'!D32="","",'초등학교+병설유치원(7월)'!D32)</x:f>
        <x:v>박현주
(063-835-1294
010-6571-0730)</x:v>
      </x:c>
      <x:c r="F30" s="281" t="str">
        <x:f>IF('초등학교+병설유치원(7월)'!E32="","",'초등학교+병설유치원(7월)'!E32)</x:f>
        <x:v>이명주
(063-835-1297)</x:v>
      </x:c>
      <x:c r="G30" s="284" t="n">
        <x:f>IF('초등학교+병설유치원(7월)'!F32="","",'초등학교+병설유치원(7월)'!F32)</x:f>
        <x:v>14</x:v>
      </x:c>
      <x:c r="H30" s="284" t="n">
        <x:f>IF('초등학교+병설유치원(7월)'!G32="","",'초등학교+병설유치원(7월)'!G32)</x:f>
        <x:v>14</x:v>
      </x:c>
      <x:c r="I30" s="284" t="str">
        <x:f>IF('초등학교+병설유치원(7월)'!H32="","",'초등학교+병설유치원(7월)'!H32)</x:f>
      </x:c>
      <x:c r="J30" s="284" t="str">
        <x:f>IF('초등학교+병설유치원(7월)'!I32="","",'초등학교+병설유치원(7월)'!I32)</x:f>
      </x:c>
      <x:c r="K30" s="284" t="str">
        <x:f>IF('초등학교+병설유치원(7월)'!J32="","",'초등학교+병설유치원(7월)'!J32)</x:f>
      </x:c>
      <x:c r="L30" s="284" t="str">
        <x:f>IF('초등학교+병설유치원(7월)'!K32="","",'초등학교+병설유치원(7월)'!K32)</x:f>
      </x:c>
      <x:c r="M30" s="285" t="n">
        <x:f>IF('초등학교+병설유치원(7월)'!L32="","",'초등학교+병설유치원(7월)'!L32)</x:f>
        <x:v>0.4722222222222222</x:v>
      </x:c>
      <x:c r="N30" s="281" t="str">
        <x:f>IF('초등학교+병설유치원(7월)'!M32="","",'초등학교+병설유치원(7월)'!M32)</x:f>
        <x:v>7.30.~8.20.
(15일)</x:v>
      </x:c>
      <x:c r="O30" s="281" t="str">
        <x:f>IF('초등학교+병설유치원(7월)'!N32="","",'초등학교+병설유치원(7월)'!N32)</x:f>
        <x:v>8.12.</x:v>
      </x:c>
      <x:c r="P30" s="282" t="str">
        <x:f>IF('초등학교+병설유치원(7월)'!O32="","",'초등학교+병설유치원(7월)'!O32)</x:f>
        <x:v>15일</x:v>
      </x:c>
      <x:c r="Q30" s="282" t="str">
        <x:f>IF('초등학교+병설유치원(7월)'!P32="","",'초등학교+병설유치원(7월)'!P32)</x:f>
        <x:v>배식</x:v>
      </x:c>
      <x:c r="R30" s="281" t="str">
        <x:f>IF('초등학교+병설유치원(7월)'!CF32="","",'초등학교+병설유치원(7월)'!CF32)</x:f>
        <x:v>돌봄1반</x:v>
      </x:c>
      <x:c r="S30" s="281" t="str">
        <x:f>IF('초등학교+병설유치원(7월)'!CG32="","",'초등학교+병설유치원(7월)'!CG32)</x:f>
        <x:v>박현주</x:v>
      </x:c>
      <x:c r="T30" s="281" t="str">
        <x:f>IF('초등학교+병설유치원(7월)'!CH32="","",'초등학교+병설유치원(7월)'!CH32)</x:f>
      </x:c>
      <x:c r="U30" s="288" t="n">
        <x:f>SUM(X30:AH30)</x:f>
        <x:v>28</x:v>
      </x:c>
      <x:c r="V30" s="288" t="n">
        <x:f>SUM(AI30:BB30)</x:f>
        <x:v>168</x:v>
      </x:c>
      <x:c r="W30" s="288" t="n">
        <x:f>U30+V30</x:f>
        <x:v>196</x:v>
      </x:c>
      <x:c r="X30" s="286" t="n">
        <x:f>SUM('초등학교+병설유치원(7월)'!Q32:'초등학교+병설유치원(7월)'!U32)</x:f>
        <x:v>0</x:v>
      </x:c>
      <x:c r="Y30" s="286" t="n">
        <x:f>SUM('초등학교+병설유치원(7월)'!W32:'초등학교+병설유치원(7월)'!AA32)</x:f>
        <x:v>0</x:v>
      </x:c>
      <x:c r="Z30" s="286" t="n">
        <x:f>SUM('초등학교+병설유치원(7월)'!AC32:'초등학교+병설유치원(7월)'!AG32)</x:f>
        <x:v>0</x:v>
      </x:c>
      <x:c r="AA30" s="286" t="n">
        <x:f>SUM('초등학교+병설유치원(7월)'!AI32:'초등학교+병설유치원(7월)'!AM32)</x:f>
        <x:v>0</x:v>
      </x:c>
      <x:c r="AB30" s="286" t="n">
        <x:f>SUM('초등학교+병설유치원(7월)'!AO32:'초등학교+병설유치원(7월)'!AS32)</x:f>
        <x:v>0</x:v>
      </x:c>
      <x:c r="AC30" s="286" t="n">
        <x:f>SUM('초등학교+병설유치원(7월)'!AU32:'초등학교+병설유치원(7월)'!AY32)</x:f>
        <x:v>0</x:v>
      </x:c>
      <x:c r="AD30" s="286" t="n">
        <x:f>SUM('초등학교+병설유치원(7월)'!BA32:'초등학교+병설유치원(7월)'!BE32)</x:f>
        <x:v>0</x:v>
      </x:c>
      <x:c r="AE30" s="286" t="n">
        <x:f>SUM('초등학교+병설유치원(7월)'!BG32:'초등학교+병설유치원(7월)'!BK32)</x:f>
        <x:v>0</x:v>
      </x:c>
      <x:c r="AF30" s="286" t="n">
        <x:f>SUM('초등학교+병설유치원(7월)'!BM32:'초등학교+병설유치원(7월)'!BQ32)</x:f>
        <x:v>0</x:v>
      </x:c>
      <x:c r="AG30" s="286" t="n">
        <x:f>SUM('초등학교+병설유치원(7월)'!BS32:'초등학교+병설유치원(7월)'!BW32)</x:f>
        <x:v>14</x:v>
      </x:c>
      <x:c r="AH30" s="286" t="n">
        <x:f>SUM('초등학교+병설유치원(7월)'!BY32:'초등학교+병설유치원(7월)'!CC32)</x:f>
        <x:v>14</x:v>
      </x:c>
      <x:c r="AI30" s="286" t="n">
        <x:f>SUM('초등학교+병설유치원(8월)'!Q32:'초등학교+병설유치원(8월)'!U32)</x:f>
        <x:v>14</x:v>
      </x:c>
      <x:c r="AJ30" s="286" t="n">
        <x:f>SUM('초등학교+병설유치원(8월)'!W32:'초등학교+병설유치원(8월)'!AA32)</x:f>
        <x:v>14</x:v>
      </x:c>
      <x:c r="AK30" s="286" t="n">
        <x:f>SUM('초등학교+병설유치원(8월)'!AC32:'초등학교+병설유치원(8월)'!AG32)</x:f>
        <x:v>14</x:v>
      </x:c>
      <x:c r="AL30" s="286" t="n">
        <x:f>SUM('초등학교+병설유치원(8월)'!AI32:'초등학교+병설유치원(8월)'!AM32)</x:f>
        <x:v>14</x:v>
      </x:c>
      <x:c r="AM30" s="286" t="n">
        <x:f>SUM('초등학교+병설유치원(8월)'!AO32:'초등학교+병설유치원(8월)'!AS32)</x:f>
        <x:v>14</x:v>
      </x:c>
      <x:c r="AN30" s="286" t="n">
        <x:f>SUM('초등학교+병설유치원(8월)'!AU32:'초등학교+병설유치원(8월)'!AY32)</x:f>
        <x:v>14</x:v>
      </x:c>
      <x:c r="AO30" s="286" t="n">
        <x:f>SUM('초등학교+병설유치원(8월)'!BA32:'초등학교+병설유치원(8월)'!BE32)</x:f>
        <x:v>14</x:v>
      </x:c>
      <x:c r="AP30" s="286" t="n">
        <x:f>SUM('초등학교+병설유치원(8월)'!BG32:'초등학교+병설유치원(8월)'!BK32)</x:f>
        <x:v>0</x:v>
      </x:c>
      <x:c r="AQ30" s="286" t="n">
        <x:f>SUM('초등학교+병설유치원(8월)'!BM32:'초등학교+병설유치원(8월)'!BQ32)</x:f>
        <x:v>14</x:v>
      </x:c>
      <x:c r="AR30" s="286" t="n">
        <x:f>SUM('초등학교+병설유치원(8월)'!BS32:'초등학교+병설유치원(8월)'!BW32)</x:f>
        <x:v>14</x:v>
      </x:c>
      <x:c r="AS30" s="286" t="n">
        <x:f>SUM('초등학교+병설유치원(8월)'!BY32:'초등학교+병설유치원(8월)'!CC32)</x:f>
        <x:v>14</x:v>
      </x:c>
      <x:c r="AT30" s="286" t="n">
        <x:f>SUM('초등학교+병설유치원(8월)'!CE32:'초등학교+병설유치원(8월)'!CI32)</x:f>
        <x:v>14</x:v>
      </x:c>
      <x:c r="AU30" s="286" t="n">
        <x:f>SUM('초등학교+병설유치원(8월)'!CK32:'초등학교+병설유치원(8월)'!CO32)</x:f>
        <x:v>14</x:v>
      </x:c>
      <x:c r="AV30" s="286" t="n">
        <x:f>SUM('초등학교+병설유치원(8월)'!CQ32:'초등학교+병설유치원(8월)'!CU32)</x:f>
        <x:v>0</x:v>
      </x:c>
      <x:c r="AW30" s="286" t="n">
        <x:f>SUM('초등학교+병설유치원(8월)'!CW32:'초등학교+병설유치원(8월)'!DA32)</x:f>
        <x:v>0</x:v>
      </x:c>
      <x:c r="AX30" s="286" t="n">
        <x:f>SUM('초등학교+병설유치원(8월)'!DC32:'초등학교+병설유치원(8월)'!DG32)</x:f>
        <x:v>0</x:v>
      </x:c>
      <x:c r="AY30" s="286" t="n">
        <x:f>SUM('초등학교+병설유치원(8월)'!DI32:'초등학교+병설유치원(8월)'!DM32)</x:f>
        <x:v>0</x:v>
      </x:c>
      <x:c r="AZ30" s="286" t="n">
        <x:f>SUM('초등학교+병설유치원(8월)'!DO32:'초등학교+병설유치원(8월)'!DS32)</x:f>
        <x:v>0</x:v>
      </x:c>
      <x:c r="BA30" s="286" t="n">
        <x:f>SUM('초등학교+병설유치원(8월)'!DU32:'초등학교+병설유치원(8월)'!DY32)</x:f>
        <x:v>0</x:v>
      </x:c>
      <x:c r="BB30" s="286" t="n">
        <x:f>SUM('초등학교+병설유치원(8월)'!EA32:'초등학교+병설유치원(8월)'!EE32)</x:f>
        <x:v>0</x:v>
      </x:c>
    </x:row>
    <x:row r="31" ht="44" customHeight="1">
      <x:c r="A31" s="282" t="n">
        <x:f>IF('초등학교+병설유치원(7월)'!A33="","",'초등학교+병설유치원(7월)'!A33)</x:f>
        <x:v>20</x:v>
      </x:c>
      <x:c r="B31" s="282" t="str">
        <x:v>초등학교</x:v>
      </x:c>
      <x:c r="C31" s="282" t="str">
        <x:f>IF('초등학교+병설유치원(7월)'!B33="","",'초등학교+병설유치원(7월)'!B33)</x:f>
        <x:v>이리송학초</x:v>
      </x:c>
      <x:c r="D31" s="281" t="str">
        <x:f>IF('초등학교+병설유치원(7월)'!C33="","",'초등학교+병설유치원(7월)'!C33)</x:f>
        <x:v>익산시 학곤로 57</x:v>
      </x:c>
      <x:c r="E31" s="281" t="str">
        <x:f>IF('초등학교+병설유치원(7월)'!D33="","",'초등학교+병설유치원(7월)'!D33)</x:f>
        <x:v>이영희
(063-851-3606
010-9860-6366)</x:v>
      </x:c>
      <x:c r="F31" s="281" t="str">
        <x:f>IF('초등학교+병설유치원(7월)'!E33="","",'초등학교+병설유치원(7월)'!E33)</x:f>
        <x:v>이영희
(063-851-3606
010-9860-6366)</x:v>
      </x:c>
      <x:c r="G31" s="284" t="n">
        <x:f>IF('초등학교+병설유치원(7월)'!F33="","",'초등학교+병설유치원(7월)'!F33)</x:f>
        <x:v>55</x:v>
      </x:c>
      <x:c r="H31" s="284" t="n">
        <x:f>IF('초등학교+병설유치원(7월)'!G33="","",'초등학교+병설유치원(7월)'!G33)</x:f>
        <x:v>19</x:v>
      </x:c>
      <x:c r="I31" s="284" t="n">
        <x:f>IF('초등학교+병설유치원(7월)'!H33="","",'초등학교+병설유치원(7월)'!H33)</x:f>
        <x:v>18</x:v>
      </x:c>
      <x:c r="J31" s="284" t="n">
        <x:f>IF('초등학교+병설유치원(7월)'!I33="","",'초등학교+병설유치원(7월)'!I33)</x:f>
        <x:v>18</x:v>
      </x:c>
      <x:c r="K31" s="284" t="str">
        <x:f>IF('초등학교+병설유치원(7월)'!J33="","",'초등학교+병설유치원(7월)'!J33)</x:f>
      </x:c>
      <x:c r="L31" s="284" t="str">
        <x:f>IF('초등학교+병설유치원(7월)'!K33="","",'초등학교+병설유치원(7월)'!K33)</x:f>
      </x:c>
      <x:c r="M31" s="285" t="n">
        <x:f>IF('초등학교+병설유치원(7월)'!L33="","",'초등학교+병설유치원(7월)'!L33)</x:f>
        <x:v>0.4791666666666667</x:v>
      </x:c>
      <x:c r="N31" s="281" t="str">
        <x:f>IF('초등학교+병설유치원(7월)'!M33="","",'초등학교+병설유치원(7월)'!M33)</x:f>
        <x:v>7.30.~8.19.
(14일)</x:v>
      </x:c>
      <x:c r="O31" s="281" t="str">
        <x:f>IF('초등학교+병설유치원(7월)'!N33="","",'초등학교+병설유치원(7월)'!N33)</x:f>
      </x:c>
      <x:c r="P31" s="282" t="str">
        <x:f>IF('초등학교+병설유치원(7월)'!O33="","",'초등학교+병설유치원(7월)'!O33)</x:f>
        <x:v>14일</x:v>
      </x:c>
      <x:c r="Q31" s="282" t="str">
        <x:f>IF('초등학교+병설유치원(7월)'!P33="","",'초등학교+병설유치원(7월)'!P33)</x:f>
        <x:v>배식</x:v>
      </x:c>
      <x:c r="R31" s="281" t="str">
        <x:f>IF('초등학교+병설유치원(7월)'!CF33="","",'초등학교+병설유치원(7월)'!CF33)</x:f>
        <x:v>돌봄1반</x:v>
      </x:c>
      <x:c r="S31" s="281" t="str">
        <x:f>IF('초등학교+병설유치원(7월)'!CG33="","",'초등학교+병설유치원(7월)'!CG33)</x:f>
        <x:v>이영희</x:v>
      </x:c>
      <x:c r="T31" s="281" t="str">
        <x:f>IF('초등학교+병설유치원(7월)'!CH33="","",'초등학교+병설유치원(7월)'!CH33)</x:f>
      </x:c>
      <x:c r="U31" s="288" t="n">
        <x:f>SUM(X31:AH31)</x:f>
        <x:v>110</x:v>
      </x:c>
      <x:c r="V31" s="288" t="n">
        <x:f>SUM(AI31:BB31)</x:f>
        <x:v>660</x:v>
      </x:c>
      <x:c r="W31" s="288" t="n">
        <x:f>U31+V31</x:f>
        <x:v>770</x:v>
      </x:c>
      <x:c r="X31" s="286" t="n">
        <x:f>SUM('초등학교+병설유치원(7월)'!Q33:'초등학교+병설유치원(7월)'!U33)</x:f>
        <x:v>0</x:v>
      </x:c>
      <x:c r="Y31" s="286" t="n">
        <x:f>SUM('초등학교+병설유치원(7월)'!W33:'초등학교+병설유치원(7월)'!AA33)</x:f>
        <x:v>0</x:v>
      </x:c>
      <x:c r="Z31" s="286" t="n">
        <x:f>SUM('초등학교+병설유치원(7월)'!AC33:'초등학교+병설유치원(7월)'!AG33)</x:f>
        <x:v>0</x:v>
      </x:c>
      <x:c r="AA31" s="286" t="n">
        <x:f>SUM('초등학교+병설유치원(7월)'!AI33:'초등학교+병설유치원(7월)'!AM33)</x:f>
        <x:v>0</x:v>
      </x:c>
      <x:c r="AB31" s="286" t="n">
        <x:f>SUM('초등학교+병설유치원(7월)'!AO33:'초등학교+병설유치원(7월)'!AS33)</x:f>
        <x:v>0</x:v>
      </x:c>
      <x:c r="AC31" s="286" t="n">
        <x:f>SUM('초등학교+병설유치원(7월)'!AU33:'초등학교+병설유치원(7월)'!AY33)</x:f>
        <x:v>0</x:v>
      </x:c>
      <x:c r="AD31" s="286" t="n">
        <x:f>SUM('초등학교+병설유치원(7월)'!BA33:'초등학교+병설유치원(7월)'!BE33)</x:f>
        <x:v>0</x:v>
      </x:c>
      <x:c r="AE31" s="286" t="n">
        <x:f>SUM('초등학교+병설유치원(7월)'!BG33:'초등학교+병설유치원(7월)'!BK33)</x:f>
        <x:v>0</x:v>
      </x:c>
      <x:c r="AF31" s="286" t="n">
        <x:f>SUM('초등학교+병설유치원(7월)'!BM33:'초등학교+병설유치원(7월)'!BQ33)</x:f>
        <x:v>0</x:v>
      </x:c>
      <x:c r="AG31" s="286" t="n">
        <x:f>SUM('초등학교+병설유치원(7월)'!BS33:'초등학교+병설유치원(7월)'!BW33)</x:f>
        <x:v>55</x:v>
      </x:c>
      <x:c r="AH31" s="286" t="n">
        <x:f>SUM('초등학교+병설유치원(7월)'!BY33:'초등학교+병설유치원(7월)'!CC33)</x:f>
        <x:v>55</x:v>
      </x:c>
      <x:c r="AI31" s="286" t="n">
        <x:f>SUM('초등학교+병설유치원(8월)'!Q33:'초등학교+병설유치원(8월)'!U33)</x:f>
        <x:v>55</x:v>
      </x:c>
      <x:c r="AJ31" s="286" t="n">
        <x:f>SUM('초등학교+병설유치원(8월)'!W33:'초등학교+병설유치원(8월)'!AA33)</x:f>
        <x:v>55</x:v>
      </x:c>
      <x:c r="AK31" s="286" t="n">
        <x:f>SUM('초등학교+병설유치원(8월)'!AC33:'초등학교+병설유치원(8월)'!AG33)</x:f>
        <x:v>55</x:v>
      </x:c>
      <x:c r="AL31" s="286" t="n">
        <x:f>SUM('초등학교+병설유치원(8월)'!AI33:'초등학교+병설유치원(8월)'!AM33)</x:f>
        <x:v>55</x:v>
      </x:c>
      <x:c r="AM31" s="286" t="n">
        <x:f>SUM('초등학교+병설유치원(8월)'!AO33:'초등학교+병설유치원(8월)'!AS33)</x:f>
        <x:v>55</x:v>
      </x:c>
      <x:c r="AN31" s="286" t="n">
        <x:f>SUM('초등학교+병설유치원(8월)'!AU33:'초등학교+병설유치원(8월)'!AY33)</x:f>
        <x:v>55</x:v>
      </x:c>
      <x:c r="AO31" s="286" t="n">
        <x:f>SUM('초등학교+병설유치원(8월)'!BA33:'초등학교+병설유치원(8월)'!BE33)</x:f>
        <x:v>55</x:v>
      </x:c>
      <x:c r="AP31" s="286" t="n">
        <x:f>SUM('초등학교+병설유치원(8월)'!BG33:'초등학교+병설유치원(8월)'!BK33)</x:f>
        <x:v>55</x:v>
      </x:c>
      <x:c r="AQ31" s="286" t="n">
        <x:f>SUM('초등학교+병설유치원(8월)'!BM33:'초등학교+병설유치원(8월)'!BQ33)</x:f>
        <x:v>55</x:v>
      </x:c>
      <x:c r="AR31" s="286" t="n">
        <x:f>SUM('초등학교+병설유치원(8월)'!BS33:'초등학교+병설유치원(8월)'!BW33)</x:f>
        <x:v>55</x:v>
      </x:c>
      <x:c r="AS31" s="286" t="n">
        <x:f>SUM('초등학교+병설유치원(8월)'!BY33:'초등학교+병설유치원(8월)'!CC33)</x:f>
        <x:v>55</x:v>
      </x:c>
      <x:c r="AT31" s="286" t="n">
        <x:f>SUM('초등학교+병설유치원(8월)'!CE33:'초등학교+병설유치원(8월)'!CI33)</x:f>
        <x:v>55</x:v>
      </x:c>
      <x:c r="AU31" s="286" t="n">
        <x:f>SUM('초등학교+병설유치원(8월)'!CK33:'초등학교+병설유치원(8월)'!CO33)</x:f>
        <x:v>0</x:v>
      </x:c>
      <x:c r="AV31" s="286" t="n">
        <x:f>SUM('초등학교+병설유치원(8월)'!CQ33:'초등학교+병설유치원(8월)'!CU33)</x:f>
        <x:v>0</x:v>
      </x:c>
      <x:c r="AW31" s="286" t="n">
        <x:f>SUM('초등학교+병설유치원(8월)'!CW33:'초등학교+병설유치원(8월)'!DA33)</x:f>
        <x:v>0</x:v>
      </x:c>
      <x:c r="AX31" s="286" t="n">
        <x:f>SUM('초등학교+병설유치원(8월)'!DC33:'초등학교+병설유치원(8월)'!DG33)</x:f>
        <x:v>0</x:v>
      </x:c>
      <x:c r="AY31" s="286" t="n">
        <x:f>SUM('초등학교+병설유치원(8월)'!DI33:'초등학교+병설유치원(8월)'!DM33)</x:f>
        <x:v>0</x:v>
      </x:c>
      <x:c r="AZ31" s="286" t="n">
        <x:f>SUM('초등학교+병설유치원(8월)'!DO33:'초등학교+병설유치원(8월)'!DS33)</x:f>
        <x:v>0</x:v>
      </x:c>
      <x:c r="BA31" s="286" t="n">
        <x:f>SUM('초등학교+병설유치원(8월)'!DU33:'초등학교+병설유치원(8월)'!DY33)</x:f>
        <x:v>0</x:v>
      </x:c>
      <x:c r="BB31" s="286" t="n">
        <x:f>SUM('초등학교+병설유치원(8월)'!EA33:'초등학교+병설유치원(8월)'!EE33)</x:f>
        <x:v>0</x:v>
      </x:c>
    </x:row>
    <x:row r="32" ht="44" customHeight="1">
      <x:c r="A32" s="282" t="str">
        <x:f>IF('초등학교+병설유치원(7월)'!A34="","",'초등학교+병설유치원(7월)'!A34)</x:f>
        <x:v>20-1</x:v>
      </x:c>
      <x:c r="B32" s="282" t="str">
        <x:v>병설유치원</x:v>
      </x:c>
      <x:c r="C32" s="282" t="str">
        <x:f>IF('초등학교+병설유치원(7월)'!B34="","",'초등학교+병설유치원(7월)'!B34)</x:f>
        <x:v>이리송학초 병설유치원</x:v>
      </x:c>
      <x:c r="D32" s="281" t="str">
        <x:f>IF('초등학교+병설유치원(7월)'!C34="","",'초등학교+병설유치원(7월)'!C34)</x:f>
        <x:v>익산시 학곤로 57</x:v>
      </x:c>
      <x:c r="E32" s="281" t="str">
        <x:f>IF('초등학교+병설유치원(7월)'!D34="","",'초등학교+병설유치원(7월)'!D34)</x:f>
        <x:v>김성은
(063-856-3067
010-7174-8442)</x:v>
      </x:c>
      <x:c r="F32" s="281" t="str">
        <x:f>IF('초등학교+병설유치원(7월)'!E34="","",'초등학교+병설유치원(7월)'!E34)</x:f>
        <x:v>김순영
(063-856-3067
010-8705-8020)</x:v>
      </x:c>
      <x:c r="G32" s="284" t="n">
        <x:f>IF('초등학교+병설유치원(7월)'!F34="","",'초등학교+병설유치원(7월)'!F34)</x:f>
        <x:v>6</x:v>
      </x:c>
      <x:c r="H32" s="284" t="n">
        <x:f>IF('초등학교+병설유치원(7월)'!G34="","",'초등학교+병설유치원(7월)'!G34)</x:f>
        <x:v>6</x:v>
      </x:c>
      <x:c r="I32" s="284" t="str">
        <x:f>IF('초등학교+병설유치원(7월)'!H34="","",'초등학교+병설유치원(7월)'!H34)</x:f>
      </x:c>
      <x:c r="J32" s="284" t="str">
        <x:f>IF('초등학교+병설유치원(7월)'!I34="","",'초등학교+병설유치원(7월)'!I34)</x:f>
      </x:c>
      <x:c r="K32" s="284" t="str">
        <x:f>IF('초등학교+병설유치원(7월)'!J34="","",'초등학교+병설유치원(7월)'!J34)</x:f>
      </x:c>
      <x:c r="L32" s="284" t="str">
        <x:f>IF('초등학교+병설유치원(7월)'!K34="","",'초등학교+병설유치원(7월)'!K34)</x:f>
      </x:c>
      <x:c r="M32" s="285" t="n">
        <x:f>IF('초등학교+병설유치원(7월)'!L34="","",'초등학교+병설유치원(7월)'!L34)</x:f>
        <x:v>0.4791666666666667</x:v>
      </x:c>
      <x:c r="N32" s="281" t="str">
        <x:f>IF('초등학교+병설유치원(7월)'!M34="","",'초등학교+병설유치원(7월)'!M34)</x:f>
        <x:v>8.3.~19.(12일)</x:v>
      </x:c>
      <x:c r="O32" s="281" t="str">
        <x:f>IF('초등학교+병설유치원(7월)'!N34="","",'초등학교+병설유치원(7월)'!N34)</x:f>
      </x:c>
      <x:c r="P32" s="282" t="str">
        <x:f>IF('초등학교+병설유치원(7월)'!O34="","",'초등학교+병설유치원(7월)'!O34)</x:f>
        <x:v>12일</x:v>
      </x:c>
      <x:c r="Q32" s="282" t="str">
        <x:f>IF('초등학교+병설유치원(7월)'!P34="","",'초등학교+병설유치원(7월)'!P34)</x:f>
        <x:v>도시락</x:v>
      </x:c>
      <x:c r="R32" s="281" t="str">
        <x:f>IF('초등학교+병설유치원(7월)'!CF34="","",'초등학교+병설유치원(7월)'!CF34)</x:f>
        <x:v>초등돌봄</x:v>
      </x:c>
      <x:c r="S32" s="281" t="str">
        <x:f>IF('초등학교+병설유치원(7월)'!CG34="","",'초등학교+병설유치원(7월)'!CG34)</x:f>
        <x:v>이영희</x:v>
      </x:c>
      <x:c r="T32" s="281" t="str">
        <x:f>IF('초등학교+병설유치원(7월)'!CH34="","",'초등학교+병설유치원(7월)'!CH34)</x:f>
      </x:c>
      <x:c r="U32" s="288" t="n">
        <x:f>SUM(X32:AH32)</x:f>
        <x:v>0</x:v>
      </x:c>
      <x:c r="V32" s="288" t="n">
        <x:f>SUM(AI32:BB32)</x:f>
        <x:v>72</x:v>
      </x:c>
      <x:c r="W32" s="288" t="n">
        <x:f>U32+V32</x:f>
        <x:v>72</x:v>
      </x:c>
      <x:c r="X32" s="286" t="n">
        <x:f>SUM('초등학교+병설유치원(7월)'!Q34:'초등학교+병설유치원(7월)'!U34)</x:f>
        <x:v>0</x:v>
      </x:c>
      <x:c r="Y32" s="286" t="n">
        <x:f>SUM('초등학교+병설유치원(7월)'!W34:'초등학교+병설유치원(7월)'!AA34)</x:f>
        <x:v>0</x:v>
      </x:c>
      <x:c r="Z32" s="286" t="n">
        <x:f>SUM('초등학교+병설유치원(7월)'!AC34:'초등학교+병설유치원(7월)'!AG34)</x:f>
        <x:v>0</x:v>
      </x:c>
      <x:c r="AA32" s="286" t="n">
        <x:f>SUM('초등학교+병설유치원(7월)'!AI34:'초등학교+병설유치원(7월)'!AM34)</x:f>
        <x:v>0</x:v>
      </x:c>
      <x:c r="AB32" s="286" t="n">
        <x:f>SUM('초등학교+병설유치원(7월)'!AO34:'초등학교+병설유치원(7월)'!AS34)</x:f>
        <x:v>0</x:v>
      </x:c>
      <x:c r="AC32" s="286" t="n">
        <x:f>SUM('초등학교+병설유치원(7월)'!AU34:'초등학교+병설유치원(7월)'!AY34)</x:f>
        <x:v>0</x:v>
      </x:c>
      <x:c r="AD32" s="286" t="n">
        <x:f>SUM('초등학교+병설유치원(7월)'!BA34:'초등학교+병설유치원(7월)'!BE34)</x:f>
        <x:v>0</x:v>
      </x:c>
      <x:c r="AE32" s="286" t="n">
        <x:f>SUM('초등학교+병설유치원(7월)'!BG34:'초등학교+병설유치원(7월)'!BK34)</x:f>
        <x:v>0</x:v>
      </x:c>
      <x:c r="AF32" s="286" t="n">
        <x:f>SUM('초등학교+병설유치원(7월)'!BM34:'초등학교+병설유치원(7월)'!BQ34)</x:f>
        <x:v>0</x:v>
      </x:c>
      <x:c r="AG32" s="286" t="n">
        <x:f>SUM('초등학교+병설유치원(7월)'!BS34:'초등학교+병설유치원(7월)'!BW34)</x:f>
        <x:v>0</x:v>
      </x:c>
      <x:c r="AH32" s="286" t="n">
        <x:f>SUM('초등학교+병설유치원(7월)'!BY34:'초등학교+병설유치원(7월)'!CC34)</x:f>
        <x:v>0</x:v>
      </x:c>
      <x:c r="AI32" s="286" t="n">
        <x:f>SUM('초등학교+병설유치원(8월)'!Q34:'초등학교+병설유치원(8월)'!U34)</x:f>
        <x:v>6</x:v>
      </x:c>
      <x:c r="AJ32" s="286" t="n">
        <x:f>SUM('초등학교+병설유치원(8월)'!W34:'초등학교+병설유치원(8월)'!AA34)</x:f>
        <x:v>6</x:v>
      </x:c>
      <x:c r="AK32" s="286" t="n">
        <x:f>SUM('초등학교+병설유치원(8월)'!AC34:'초등학교+병설유치원(8월)'!AG34)</x:f>
        <x:v>6</x:v>
      </x:c>
      <x:c r="AL32" s="286" t="n">
        <x:f>SUM('초등학교+병설유치원(8월)'!AI34:'초등학교+병설유치원(8월)'!AM34)</x:f>
        <x:v>6</x:v>
      </x:c>
      <x:c r="AM32" s="286" t="n">
        <x:f>SUM('초등학교+병설유치원(8월)'!AO34:'초등학교+병설유치원(8월)'!AS34)</x:f>
        <x:v>6</x:v>
      </x:c>
      <x:c r="AN32" s="286" t="n">
        <x:f>SUM('초등학교+병설유치원(8월)'!AU34:'초등학교+병설유치원(8월)'!AY34)</x:f>
        <x:v>6</x:v>
      </x:c>
      <x:c r="AO32" s="286" t="n">
        <x:f>SUM('초등학교+병설유치원(8월)'!BA34:'초등학교+병설유치원(8월)'!BE34)</x:f>
        <x:v>6</x:v>
      </x:c>
      <x:c r="AP32" s="286" t="n">
        <x:f>SUM('초등학교+병설유치원(8월)'!BG34:'초등학교+병설유치원(8월)'!BK34)</x:f>
        <x:v>6</x:v>
      </x:c>
      <x:c r="AQ32" s="286" t="n">
        <x:f>SUM('초등학교+병설유치원(8월)'!BM34:'초등학교+병설유치원(8월)'!BQ34)</x:f>
        <x:v>6</x:v>
      </x:c>
      <x:c r="AR32" s="286" t="n">
        <x:f>SUM('초등학교+병설유치원(8월)'!BS34:'초등학교+병설유치원(8월)'!BW34)</x:f>
        <x:v>6</x:v>
      </x:c>
      <x:c r="AS32" s="286" t="n">
        <x:f>SUM('초등학교+병설유치원(8월)'!BY34:'초등학교+병설유치원(8월)'!CC34)</x:f>
        <x:v>6</x:v>
      </x:c>
      <x:c r="AT32" s="286" t="n">
        <x:f>SUM('초등학교+병설유치원(8월)'!CE34:'초등학교+병설유치원(8월)'!CI34)</x:f>
        <x:v>6</x:v>
      </x:c>
      <x:c r="AU32" s="286" t="n">
        <x:f>SUM('초등학교+병설유치원(8월)'!CK34:'초등학교+병설유치원(8월)'!CO34)</x:f>
        <x:v>0</x:v>
      </x:c>
      <x:c r="AV32" s="286" t="n">
        <x:f>SUM('초등학교+병설유치원(8월)'!CQ34:'초등학교+병설유치원(8월)'!CU34)</x:f>
        <x:v>0</x:v>
      </x:c>
      <x:c r="AW32" s="286" t="n">
        <x:f>SUM('초등학교+병설유치원(8월)'!CW34:'초등학교+병설유치원(8월)'!DA34)</x:f>
        <x:v>0</x:v>
      </x:c>
      <x:c r="AX32" s="286" t="n">
        <x:f>SUM('초등학교+병설유치원(8월)'!DC34:'초등학교+병설유치원(8월)'!DG34)</x:f>
        <x:v>0</x:v>
      </x:c>
      <x:c r="AY32" s="286" t="n">
        <x:f>SUM('초등학교+병설유치원(8월)'!DI34:'초등학교+병설유치원(8월)'!DM34)</x:f>
        <x:v>0</x:v>
      </x:c>
      <x:c r="AZ32" s="286" t="n">
        <x:f>SUM('초등학교+병설유치원(8월)'!DO34:'초등학교+병설유치원(8월)'!DS34)</x:f>
        <x:v>0</x:v>
      </x:c>
      <x:c r="BA32" s="286" t="n">
        <x:f>SUM('초등학교+병설유치원(8월)'!DU34:'초등학교+병설유치원(8월)'!DY34)</x:f>
        <x:v>0</x:v>
      </x:c>
      <x:c r="BB32" s="286" t="n">
        <x:f>SUM('초등학교+병설유치원(8월)'!EA34:'초등학교+병설유치원(8월)'!EE34)</x:f>
        <x:v>0</x:v>
      </x:c>
    </x:row>
    <x:row r="33" ht="44" customHeight="1">
      <x:c r="A33" s="282" t="n">
        <x:f>IF('초등학교+병설유치원(7월)'!A35="","",'초등학교+병설유치원(7월)'!A35)</x:f>
        <x:v>21</x:v>
      </x:c>
      <x:c r="B33" s="282" t="str">
        <x:v>초등학교</x:v>
      </x:c>
      <x:c r="C33" s="282" t="str">
        <x:f>IF('초등학교+병설유치원(7월)'!B35="","",'초등학교+병설유치원(7월)'!B35)</x:f>
        <x:v>이리신동초</x:v>
      </x:c>
      <x:c r="D33" s="281" t="str">
        <x:f>IF('초등학교+병설유치원(7월)'!C35="","",'초등학교+병설유치원(7월)'!C35)</x:f>
        <x:v>익산시 무왕로 981</x:v>
      </x:c>
      <x:c r="E33" s="281" t="str">
        <x:f>IF('초등학교+병설유치원(7월)'!D35="","",'초등학교+병설유치원(7월)'!D35)</x:f>
        <x:v>전은희
(070-7602-2456
010-2285-6952)</x:v>
      </x:c>
      <x:c r="F33" s="281" t="str">
        <x:f>IF('초등학교+병설유치원(7월)'!E35="","",'초등학교+병설유치원(7월)'!E35)</x:f>
        <x:v>최창규
(063-858-5064)</x:v>
      </x:c>
      <x:c r="G33" s="284" t="n">
        <x:f>IF('초등학교+병설유치원(7월)'!F35="","",'초등학교+병설유치원(7월)'!F35)</x:f>
        <x:v>21</x:v>
      </x:c>
      <x:c r="H33" s="284" t="n">
        <x:f>IF('초등학교+병설유치원(7월)'!G35="","",'초등학교+병설유치원(7월)'!G35)</x:f>
        <x:v>21</x:v>
      </x:c>
      <x:c r="I33" s="284" t="str">
        <x:f>IF('초등학교+병설유치원(7월)'!H35="","",'초등학교+병설유치원(7월)'!H35)</x:f>
      </x:c>
      <x:c r="J33" s="284" t="str">
        <x:f>IF('초등학교+병설유치원(7월)'!I35="","",'초등학교+병설유치원(7월)'!I35)</x:f>
      </x:c>
      <x:c r="K33" s="284" t="str">
        <x:f>IF('초등학교+병설유치원(7월)'!J35="","",'초등학교+병설유치원(7월)'!J35)</x:f>
      </x:c>
      <x:c r="L33" s="284" t="str">
        <x:f>IF('초등학교+병설유치원(7월)'!K35="","",'초등학교+병설유치원(7월)'!K35)</x:f>
      </x:c>
      <x:c r="M33" s="285" t="n">
        <x:f>IF('초등학교+병설유치원(7월)'!L35="","",'초등학교+병설유치원(7월)'!L35)</x:f>
        <x:v>0.4791666666666667</x:v>
      </x:c>
      <x:c r="N33" s="281" t="str">
        <x:f>IF('초등학교+병설유치원(7월)'!M35="","",'초등학교+병설유치원(7월)'!M35)</x:f>
        <x:v>7.27.~8.21.
(17일)</x:v>
      </x:c>
      <x:c r="O33" s="281" t="str">
        <x:f>IF('초등학교+병설유치원(7월)'!N35="","",'초등학교+병설유치원(7월)'!N35)</x:f>
        <x:v>8.18.~8.19.</x:v>
      </x:c>
      <x:c r="P33" s="282" t="str">
        <x:f>IF('초등학교+병설유치원(7월)'!O35="","",'초등학교+병설유치원(7월)'!O35)</x:f>
        <x:v>17일</x:v>
      </x:c>
      <x:c r="Q33" s="282" t="str">
        <x:f>IF('초등학교+병설유치원(7월)'!P35="","",'초등학교+병설유치원(7월)'!P35)</x:f>
        <x:v>배식</x:v>
      </x:c>
      <x:c r="R33" s="281" t="str">
        <x:f>IF('초등학교+병설유치원(7월)'!CF35="","",'초등학교+병설유치원(7월)'!CF35)</x:f>
        <x:v>돌봄1반</x:v>
      </x:c>
      <x:c r="S33" s="281" t="str">
        <x:f>IF('초등학교+병설유치원(7월)'!CG35="","",'초등학교+병설유치원(7월)'!CG35)</x:f>
        <x:v>전은희</x:v>
      </x:c>
      <x:c r="T33" s="281" t="str">
        <x:f>IF('초등학교+병설유치원(7월)'!CH35="","",'초등학교+병설유치원(7월)'!CH35)</x:f>
      </x:c>
      <x:c r="U33" s="288" t="n">
        <x:f>SUM(X33:AH33)</x:f>
        <x:v>105</x:v>
      </x:c>
      <x:c r="V33" s="288" t="n">
        <x:f>SUM(AI33:BB33)</x:f>
        <x:v>252</x:v>
      </x:c>
      <x:c r="W33" s="288" t="n">
        <x:f>U33+V33</x:f>
        <x:v>357</x:v>
      </x:c>
      <x:c r="X33" s="286" t="n">
        <x:f>SUM('초등학교+병설유치원(7월)'!Q35:'초등학교+병설유치원(7월)'!U35)</x:f>
        <x:v>0</x:v>
      </x:c>
      <x:c r="Y33" s="286" t="n">
        <x:f>SUM('초등학교+병설유치원(7월)'!W35:'초등학교+병설유치원(7월)'!AA35)</x:f>
        <x:v>0</x:v>
      </x:c>
      <x:c r="Z33" s="286" t="n">
        <x:f>SUM('초등학교+병설유치원(7월)'!AC35:'초등학교+병설유치원(7월)'!AG35)</x:f>
        <x:v>0</x:v>
      </x:c>
      <x:c r="AA33" s="286" t="n">
        <x:f>SUM('초등학교+병설유치원(7월)'!AI35:'초등학교+병설유치원(7월)'!AM35)</x:f>
        <x:v>0</x:v>
      </x:c>
      <x:c r="AB33" s="286" t="n">
        <x:f>SUM('초등학교+병설유치원(7월)'!AO35:'초등학교+병설유치원(7월)'!AS35)</x:f>
        <x:v>0</x:v>
      </x:c>
      <x:c r="AC33" s="286" t="n">
        <x:f>SUM('초등학교+병설유치원(7월)'!AU35:'초등학교+병설유치원(7월)'!AY35)</x:f>
        <x:v>0</x:v>
      </x:c>
      <x:c r="AD33" s="286" t="n">
        <x:f>SUM('초등학교+병설유치원(7월)'!BA35:'초등학교+병설유치원(7월)'!BE35)</x:f>
        <x:v>21</x:v>
      </x:c>
      <x:c r="AE33" s="286" t="n">
        <x:f>SUM('초등학교+병설유치원(7월)'!BG35:'초등학교+병설유치원(7월)'!BK35)</x:f>
        <x:v>21</x:v>
      </x:c>
      <x:c r="AF33" s="286" t="n">
        <x:f>SUM('초등학교+병설유치원(7월)'!BM35:'초등학교+병설유치원(7월)'!BQ35)</x:f>
        <x:v>21</x:v>
      </x:c>
      <x:c r="AG33" s="286" t="n">
        <x:f>SUM('초등학교+병설유치원(7월)'!BS35:'초등학교+병설유치원(7월)'!BW35)</x:f>
        <x:v>21</x:v>
      </x:c>
      <x:c r="AH33" s="286" t="n">
        <x:f>SUM('초등학교+병설유치원(7월)'!BY35:'초등학교+병설유치원(7월)'!CC35)</x:f>
        <x:v>21</x:v>
      </x:c>
      <x:c r="AI33" s="286" t="n">
        <x:f>SUM('초등학교+병설유치원(8월)'!Q35:'초등학교+병설유치원(8월)'!U35)</x:f>
        <x:v>21</x:v>
      </x:c>
      <x:c r="AJ33" s="286" t="n">
        <x:f>SUM('초등학교+병설유치원(8월)'!W35:'초등학교+병설유치원(8월)'!AA35)</x:f>
        <x:v>21</x:v>
      </x:c>
      <x:c r="AK33" s="286" t="n">
        <x:f>SUM('초등학교+병설유치원(8월)'!AC35:'초등학교+병설유치원(8월)'!AG35)</x:f>
        <x:v>21</x:v>
      </x:c>
      <x:c r="AL33" s="286" t="n">
        <x:f>SUM('초등학교+병설유치원(8월)'!AI35:'초등학교+병설유치원(8월)'!AM35)</x:f>
        <x:v>21</x:v>
      </x:c>
      <x:c r="AM33" s="286" t="n">
        <x:f>SUM('초등학교+병설유치원(8월)'!AO35:'초등학교+병설유치원(8월)'!AS35)</x:f>
        <x:v>21</x:v>
      </x:c>
      <x:c r="AN33" s="286" t="n">
        <x:f>SUM('초등학교+병설유치원(8월)'!AU35:'초등학교+병설유치원(8월)'!AY35)</x:f>
        <x:v>21</x:v>
      </x:c>
      <x:c r="AO33" s="286" t="n">
        <x:f>SUM('초등학교+병설유치원(8월)'!BA35:'초등학교+병설유치원(8월)'!BE35)</x:f>
        <x:v>21</x:v>
      </x:c>
      <x:c r="AP33" s="286" t="n">
        <x:f>SUM('초등학교+병설유치원(8월)'!BG35:'초등학교+병설유치원(8월)'!BK35)</x:f>
        <x:v>21</x:v>
      </x:c>
      <x:c r="AQ33" s="286" t="n">
        <x:f>SUM('초등학교+병설유치원(8월)'!BM35:'초등학교+병설유치원(8월)'!BQ35)</x:f>
        <x:v>21</x:v>
      </x:c>
      <x:c r="AR33" s="286" t="n">
        <x:f>SUM('초등학교+병설유치원(8월)'!BS35:'초등학교+병설유치원(8월)'!BW35)</x:f>
        <x:v>21</x:v>
      </x:c>
      <x:c r="AS33" s="286" t="n">
        <x:f>SUM('초등학교+병설유치원(8월)'!BY35:'초등학교+병설유치원(8월)'!CC35)</x:f>
        <x:v>0</x:v>
      </x:c>
      <x:c r="AT33" s="286" t="n">
        <x:f>SUM('초등학교+병설유치원(8월)'!CE35:'초등학교+병설유치원(8월)'!CI35)</x:f>
        <x:v>0</x:v>
      </x:c>
      <x:c r="AU33" s="286" t="n">
        <x:f>SUM('초등학교+병설유치원(8월)'!CK35:'초등학교+병설유치원(8월)'!CO35)</x:f>
        <x:v>21</x:v>
      </x:c>
      <x:c r="AV33" s="286" t="n">
        <x:f>SUM('초등학교+병설유치원(8월)'!CQ35:'초등학교+병설유치원(8월)'!CU35)</x:f>
        <x:v>21</x:v>
      </x:c>
      <x:c r="AW33" s="286" t="n">
        <x:f>SUM('초등학교+병설유치원(8월)'!CW35:'초등학교+병설유치원(8월)'!DA35)</x:f>
        <x:v>0</x:v>
      </x:c>
      <x:c r="AX33" s="286" t="n">
        <x:f>SUM('초등학교+병설유치원(8월)'!DC35:'초등학교+병설유치원(8월)'!DG35)</x:f>
        <x:v>0</x:v>
      </x:c>
      <x:c r="AY33" s="286" t="n">
        <x:f>SUM('초등학교+병설유치원(8월)'!DI35:'초등학교+병설유치원(8월)'!DM35)</x:f>
        <x:v>0</x:v>
      </x:c>
      <x:c r="AZ33" s="286" t="n">
        <x:f>SUM('초등학교+병설유치원(8월)'!DO35:'초등학교+병설유치원(8월)'!DS35)</x:f>
        <x:v>0</x:v>
      </x:c>
      <x:c r="BA33" s="286" t="n">
        <x:f>SUM('초등학교+병설유치원(8월)'!DU35:'초등학교+병설유치원(8월)'!DY35)</x:f>
        <x:v>0</x:v>
      </x:c>
      <x:c r="BB33" s="286" t="n">
        <x:f>SUM('초등학교+병설유치원(8월)'!EA35:'초등학교+병설유치원(8월)'!EE35)</x:f>
        <x:v>0</x:v>
      </x:c>
    </x:row>
    <x:row r="34" ht="44" customHeight="1">
      <x:c r="A34" s="282" t="n">
        <x:f>IF('초등학교+병설유치원(7월)'!A36="","",'초등학교+병설유치원(7월)'!A36)</x:f>
        <x:v>22</x:v>
      </x:c>
      <x:c r="B34" s="282" t="str">
        <x:v>초등학교</x:v>
      </x:c>
      <x:c r="C34" s="282" t="str">
        <x:f>IF('초등학교+병설유치원(7월)'!B36="","",'초등학교+병설유치원(7월)'!B36)</x:f>
        <x:v>이리신흥초</x:v>
      </x:c>
      <x:c r="D34" s="281" t="str">
        <x:f>IF('초등학교+병설유치원(7월)'!C36="","",'초등학교+병설유치원(7월)'!C36)</x:f>
        <x:v>익산시 하나로3길 10</x:v>
      </x:c>
      <x:c r="E34" s="281" t="str">
        <x:f>IF('초등학교+병설유치원(7월)'!D36="","",'초등학교+병설유치원(7월)'!D36)</x:f>
        <x:v>박은옥
(063-851-4725)</x:v>
      </x:c>
      <x:c r="F34" s="281" t="str">
        <x:f>IF('초등학교+병설유치원(7월)'!E36="","",'초등학교+병설유치원(7월)'!E36)</x:f>
        <x:v>이경현
(063-851-4725
010-4643-8219)</x:v>
      </x:c>
      <x:c r="G34" s="284" t="n">
        <x:f>IF('초등학교+병설유치원(7월)'!F36="","",'초등학교+병설유치원(7월)'!F36)</x:f>
        <x:v>21</x:v>
      </x:c>
      <x:c r="H34" s="284" t="n">
        <x:f>IF('초등학교+병설유치원(7월)'!G36="","",'초등학교+병설유치원(7월)'!G36)</x:f>
        <x:v>21</x:v>
      </x:c>
      <x:c r="I34" s="284" t="str">
        <x:f>IF('초등학교+병설유치원(7월)'!H36="","",'초등학교+병설유치원(7월)'!H36)</x:f>
      </x:c>
      <x:c r="J34" s="284" t="str">
        <x:f>IF('초등학교+병설유치원(7월)'!I36="","",'초등학교+병설유치원(7월)'!I36)</x:f>
      </x:c>
      <x:c r="K34" s="284" t="str">
        <x:f>IF('초등학교+병설유치원(7월)'!J36="","",'초등학교+병설유치원(7월)'!J36)</x:f>
      </x:c>
      <x:c r="L34" s="284" t="str">
        <x:f>IF('초등학교+병설유치원(7월)'!K36="","",'초등학교+병설유치원(7월)'!K36)</x:f>
      </x:c>
      <x:c r="M34" s="285" t="n">
        <x:f>IF('초등학교+병설유치원(7월)'!L36="","",'초등학교+병설유치원(7월)'!L36)</x:f>
        <x:v>0.4861111111111111</x:v>
      </x:c>
      <x:c r="N34" s="281" t="str">
        <x:f>IF('초등학교+병설유치원(7월)'!M36="","",'초등학교+병설유치원(7월)'!M36)</x:f>
        <x:v>7.27.~8.12.
(13일)</x:v>
      </x:c>
      <x:c r="O34" s="281" t="str">
        <x:f>IF('초등학교+병설유치원(7월)'!N36="","",'초등학교+병설유치원(7월)'!N36)</x:f>
      </x:c>
      <x:c r="P34" s="282" t="str">
        <x:f>IF('초등학교+병설유치원(7월)'!O36="","",'초등학교+병설유치원(7월)'!O36)</x:f>
        <x:v>13일</x:v>
      </x:c>
      <x:c r="Q34" s="282" t="str">
        <x:f>IF('초등학교+병설유치원(7월)'!P36="","",'초등학교+병설유치원(7월)'!P36)</x:f>
        <x:v>배식</x:v>
      </x:c>
      <x:c r="R34" s="281" t="str">
        <x:f>IF('초등학교+병설유치원(7월)'!CF36="","",'초등학교+병설유치원(7월)'!CF36)</x:f>
        <x:v>돌봄1반</x:v>
      </x:c>
      <x:c r="S34" s="281" t="str">
        <x:f>IF('초등학교+병설유치원(7월)'!CG36="","",'초등학교+병설유치원(7월)'!CG36)</x:f>
        <x:v>박은옥</x:v>
      </x:c>
      <x:c r="T34" s="281" t="str">
        <x:f>IF('초등학교+병설유치원(7월)'!CH36="","",'초등학교+병설유치원(7월)'!CH36)</x:f>
      </x:c>
      <x:c r="U34" s="288" t="n">
        <x:f>SUM(X34:AH34)</x:f>
        <x:v>105</x:v>
      </x:c>
      <x:c r="V34" s="288" t="n">
        <x:f>SUM(AI34:BB34)</x:f>
        <x:v>168</x:v>
      </x:c>
      <x:c r="W34" s="288" t="n">
        <x:f>U34+V34</x:f>
        <x:v>273</x:v>
      </x:c>
      <x:c r="X34" s="286" t="n">
        <x:f>SUM('초등학교+병설유치원(7월)'!Q36:'초등학교+병설유치원(7월)'!U36)</x:f>
        <x:v>0</x:v>
      </x:c>
      <x:c r="Y34" s="286" t="n">
        <x:f>SUM('초등학교+병설유치원(7월)'!W36:'초등학교+병설유치원(7월)'!AA36)</x:f>
        <x:v>0</x:v>
      </x:c>
      <x:c r="Z34" s="286" t="n">
        <x:f>SUM('초등학교+병설유치원(7월)'!AC36:'초등학교+병설유치원(7월)'!AG36)</x:f>
        <x:v>0</x:v>
      </x:c>
      <x:c r="AA34" s="286" t="n">
        <x:f>SUM('초등학교+병설유치원(7월)'!AI36:'초등학교+병설유치원(7월)'!AM36)</x:f>
        <x:v>0</x:v>
      </x:c>
      <x:c r="AB34" s="286" t="n">
        <x:f>SUM('초등학교+병설유치원(7월)'!AO36:'초등학교+병설유치원(7월)'!AS36)</x:f>
        <x:v>0</x:v>
      </x:c>
      <x:c r="AC34" s="286" t="n">
        <x:f>SUM('초등학교+병설유치원(7월)'!AU36:'초등학교+병설유치원(7월)'!AY36)</x:f>
        <x:v>0</x:v>
      </x:c>
      <x:c r="AD34" s="286" t="n">
        <x:f>SUM('초등학교+병설유치원(7월)'!BA36:'초등학교+병설유치원(7월)'!BE36)</x:f>
        <x:v>21</x:v>
      </x:c>
      <x:c r="AE34" s="286" t="n">
        <x:f>SUM('초등학교+병설유치원(7월)'!BG36:'초등학교+병설유치원(7월)'!BK36)</x:f>
        <x:v>21</x:v>
      </x:c>
      <x:c r="AF34" s="286" t="n">
        <x:f>SUM('초등학교+병설유치원(7월)'!BM36:'초등학교+병설유치원(7월)'!BQ36)</x:f>
        <x:v>21</x:v>
      </x:c>
      <x:c r="AG34" s="286" t="n">
        <x:f>SUM('초등학교+병설유치원(7월)'!BS36:'초등학교+병설유치원(7월)'!BW36)</x:f>
        <x:v>21</x:v>
      </x:c>
      <x:c r="AH34" s="286" t="n">
        <x:f>SUM('초등학교+병설유치원(7월)'!BY36:'초등학교+병설유치원(7월)'!CC36)</x:f>
        <x:v>21</x:v>
      </x:c>
      <x:c r="AI34" s="286" t="n">
        <x:f>SUM('초등학교+병설유치원(8월)'!Q36:'초등학교+병설유치원(8월)'!U36)</x:f>
        <x:v>21</x:v>
      </x:c>
      <x:c r="AJ34" s="286" t="n">
        <x:f>SUM('초등학교+병설유치원(8월)'!W36:'초등학교+병설유치원(8월)'!AA36)</x:f>
        <x:v>21</x:v>
      </x:c>
      <x:c r="AK34" s="286" t="n">
        <x:f>SUM('초등학교+병설유치원(8월)'!AC36:'초등학교+병설유치원(8월)'!AG36)</x:f>
        <x:v>21</x:v>
      </x:c>
      <x:c r="AL34" s="286" t="n">
        <x:f>SUM('초등학교+병설유치원(8월)'!AI36:'초등학교+병설유치원(8월)'!AM36)</x:f>
        <x:v>21</x:v>
      </x:c>
      <x:c r="AM34" s="286" t="n">
        <x:f>SUM('초등학교+병설유치원(8월)'!AO36:'초등학교+병설유치원(8월)'!AS36)</x:f>
        <x:v>21</x:v>
      </x:c>
      <x:c r="AN34" s="286" t="n">
        <x:f>SUM('초등학교+병설유치원(8월)'!AU36:'초등학교+병설유치원(8월)'!AY36)</x:f>
        <x:v>21</x:v>
      </x:c>
      <x:c r="AO34" s="286" t="n">
        <x:f>SUM('초등학교+병설유치원(8월)'!BA36:'초등학교+병설유치원(8월)'!BE36)</x:f>
        <x:v>21</x:v>
      </x:c>
      <x:c r="AP34" s="286" t="n">
        <x:f>SUM('초등학교+병설유치원(8월)'!BG36:'초등학교+병설유치원(8월)'!BK36)</x:f>
        <x:v>21</x:v>
      </x:c>
      <x:c r="AQ34" s="286" t="n">
        <x:f>SUM('초등학교+병설유치원(8월)'!BM36:'초등학교+병설유치원(8월)'!BQ36)</x:f>
        <x:v>0</x:v>
      </x:c>
      <x:c r="AR34" s="286" t="n">
        <x:f>SUM('초등학교+병설유치원(8월)'!BS36:'초등학교+병설유치원(8월)'!BW36)</x:f>
        <x:v>0</x:v>
      </x:c>
      <x:c r="AS34" s="286" t="n">
        <x:f>SUM('초등학교+병설유치원(8월)'!BY36:'초등학교+병설유치원(8월)'!CC36)</x:f>
        <x:v>0</x:v>
      </x:c>
      <x:c r="AT34" s="286" t="n">
        <x:f>SUM('초등학교+병설유치원(8월)'!CE36:'초등학교+병설유치원(8월)'!CI36)</x:f>
        <x:v>0</x:v>
      </x:c>
      <x:c r="AU34" s="286" t="n">
        <x:f>SUM('초등학교+병설유치원(8월)'!CK36:'초등학교+병설유치원(8월)'!CO36)</x:f>
        <x:v>0</x:v>
      </x:c>
      <x:c r="AV34" s="286" t="n">
        <x:f>SUM('초등학교+병설유치원(8월)'!CQ36:'초등학교+병설유치원(8월)'!CU36)</x:f>
        <x:v>0</x:v>
      </x:c>
      <x:c r="AW34" s="286" t="n">
        <x:f>SUM('초등학교+병설유치원(8월)'!CW36:'초등학교+병설유치원(8월)'!DA36)</x:f>
        <x:v>0</x:v>
      </x:c>
      <x:c r="AX34" s="286" t="n">
        <x:f>SUM('초등학교+병설유치원(8월)'!DC36:'초등학교+병설유치원(8월)'!DG36)</x:f>
        <x:v>0</x:v>
      </x:c>
      <x:c r="AY34" s="286" t="n">
        <x:f>SUM('초등학교+병설유치원(8월)'!DI36:'초등학교+병설유치원(8월)'!DM36)</x:f>
        <x:v>0</x:v>
      </x:c>
      <x:c r="AZ34" s="286" t="n">
        <x:f>SUM('초등학교+병설유치원(8월)'!DO36:'초등학교+병설유치원(8월)'!DS36)</x:f>
        <x:v>0</x:v>
      </x:c>
      <x:c r="BA34" s="286" t="n">
        <x:f>SUM('초등학교+병설유치원(8월)'!DU36:'초등학교+병설유치원(8월)'!DY36)</x:f>
        <x:v>0</x:v>
      </x:c>
      <x:c r="BB34" s="286" t="n">
        <x:f>SUM('초등학교+병설유치원(8월)'!EA36:'초등학교+병설유치원(8월)'!EE36)</x:f>
        <x:v>0</x:v>
      </x:c>
    </x:row>
    <x:row r="35" ht="44" customHeight="1">
      <x:c r="A35" s="282" t="str">
        <x:f>IF('초등학교+병설유치원(7월)'!A37="","",'초등학교+병설유치원(7월)'!A37)</x:f>
        <x:v>22-1</x:v>
      </x:c>
      <x:c r="B35" s="282" t="str">
        <x:v>병설유치원</x:v>
      </x:c>
      <x:c r="C35" s="282" t="str">
        <x:f>IF('초등학교+병설유치원(7월)'!B37="","",'초등학교+병설유치원(7월)'!B37)</x:f>
        <x:v>이리신흥초 병설유치원</x:v>
      </x:c>
      <x:c r="D35" s="281" t="str">
        <x:f>IF('초등학교+병설유치원(7월)'!C37="","",'초등학교+병설유치원(7월)'!C37)</x:f>
        <x:v>익산시 하나로3길 10</x:v>
      </x:c>
      <x:c r="E35" s="281" t="str">
        <x:f>IF('초등학교+병설유치원(7월)'!D37="","",'초등학교+병설유치원(7월)'!D37)</x:f>
        <x:v>010-9338-5101</x:v>
      </x:c>
      <x:c r="F35" s="281" t="str">
        <x:f>IF('초등학교+병설유치원(7월)'!E37="","",'초등학교+병설유치원(7월)'!E37)</x:f>
        <x:v>방근영
(010-9496-8134)</x:v>
      </x:c>
      <x:c r="G35" s="284" t="n">
        <x:f>IF('초등학교+병설유치원(7월)'!F37="","",'초등학교+병설유치원(7월)'!F37)</x:f>
        <x:v>2</x:v>
      </x:c>
      <x:c r="H35" s="284" t="n">
        <x:f>IF('초등학교+병설유치원(7월)'!G37="","",'초등학교+병설유치원(7월)'!G37)</x:f>
        <x:v>2</x:v>
      </x:c>
      <x:c r="I35" s="284" t="str">
        <x:f>IF('초등학교+병설유치원(7월)'!H37="","",'초등학교+병설유치원(7월)'!H37)</x:f>
      </x:c>
      <x:c r="J35" s="284" t="str">
        <x:f>IF('초등학교+병설유치원(7월)'!I37="","",'초등학교+병설유치원(7월)'!I37)</x:f>
      </x:c>
      <x:c r="K35" s="284" t="str">
        <x:f>IF('초등학교+병설유치원(7월)'!J37="","",'초등학교+병설유치원(7월)'!J37)</x:f>
      </x:c>
      <x:c r="L35" s="284" t="str">
        <x:f>IF('초등학교+병설유치원(7월)'!K37="","",'초등학교+병설유치원(7월)'!K37)</x:f>
      </x:c>
      <x:c r="M35" s="285" t="n">
        <x:f>IF('초등학교+병설유치원(7월)'!L37="","",'초등학교+병설유치원(7월)'!L37)</x:f>
        <x:v>0.5</x:v>
      </x:c>
      <x:c r="N35" s="281" t="str">
        <x:f>IF('초등학교+병설유치원(7월)'!M37="","",'초등학교+병설유치원(7월)'!M37)</x:f>
        <x:v>8.3.~14.(10일)</x:v>
      </x:c>
      <x:c r="O35" s="281" t="str">
        <x:f>IF('초등학교+병설유치원(7월)'!N37="","",'초등학교+병설유치원(7월)'!N37)</x:f>
      </x:c>
      <x:c r="P35" s="282" t="str">
        <x:f>IF('초등학교+병설유치원(7월)'!O37="","",'초등학교+병설유치원(7월)'!O37)</x:f>
        <x:v>10일</x:v>
      </x:c>
      <x:c r="Q35" s="282" t="str">
        <x:f>IF('초등학교+병설유치원(7월)'!P37="","",'초등학교+병설유치원(7월)'!P37)</x:f>
        <x:v>도시락</x:v>
      </x:c>
      <x:c r="R35" s="281" t="str">
        <x:f>IF('초등학교+병설유치원(7월)'!CF37="","",'초등학교+병설유치원(7월)'!CF37)</x:f>
        <x:v>유치원 교실</x:v>
      </x:c>
      <x:c r="S35" s="281" t="str">
        <x:f>IF('초등학교+병설유치원(7월)'!CG37="","",'초등학교+병설유치원(7월)'!CG37)</x:f>
        <x:v>방근영</x:v>
      </x:c>
      <x:c r="T35" s="281" t="str">
        <x:f>IF('초등학교+병설유치원(7월)'!CH37="","",'초등학교+병설유치원(7월)'!CH37)</x:f>
      </x:c>
      <x:c r="U35" s="288" t="n">
        <x:f>SUM(X35:AH35)</x:f>
        <x:v>0</x:v>
      </x:c>
      <x:c r="V35" s="288" t="n">
        <x:f>SUM(AI35:BB35)</x:f>
        <x:v>22</x:v>
      </x:c>
      <x:c r="W35" s="288" t="n">
        <x:f>U35+V35</x:f>
        <x:v>22</x:v>
      </x:c>
      <x:c r="X35" s="286" t="n">
        <x:f>SUM('초등학교+병설유치원(7월)'!Q37:'초등학교+병설유치원(7월)'!U37)</x:f>
        <x:v>0</x:v>
      </x:c>
      <x:c r="Y35" s="286" t="n">
        <x:f>SUM('초등학교+병설유치원(7월)'!W37:'초등학교+병설유치원(7월)'!AA37)</x:f>
        <x:v>0</x:v>
      </x:c>
      <x:c r="Z35" s="286" t="n">
        <x:f>SUM('초등학교+병설유치원(7월)'!AC37:'초등학교+병설유치원(7월)'!AG37)</x:f>
        <x:v>0</x:v>
      </x:c>
      <x:c r="AA35" s="286" t="n">
        <x:f>SUM('초등학교+병설유치원(7월)'!AI37:'초등학교+병설유치원(7월)'!AM37)</x:f>
        <x:v>0</x:v>
      </x:c>
      <x:c r="AB35" s="286" t="n">
        <x:f>SUM('초등학교+병설유치원(7월)'!AO37:'초등학교+병설유치원(7월)'!AS37)</x:f>
        <x:v>0</x:v>
      </x:c>
      <x:c r="AC35" s="286" t="n">
        <x:f>SUM('초등학교+병설유치원(7월)'!AU37:'초등학교+병설유치원(7월)'!AY37)</x:f>
        <x:v>0</x:v>
      </x:c>
      <x:c r="AD35" s="286" t="n">
        <x:f>SUM('초등학교+병설유치원(7월)'!BA37:'초등학교+병설유치원(7월)'!BE37)</x:f>
        <x:v>0</x:v>
      </x:c>
      <x:c r="AE35" s="286" t="n">
        <x:f>SUM('초등학교+병설유치원(7월)'!BG37:'초등학교+병설유치원(7월)'!BK37)</x:f>
        <x:v>0</x:v>
      </x:c>
      <x:c r="AF35" s="286" t="n">
        <x:f>SUM('초등학교+병설유치원(7월)'!BM37:'초등학교+병설유치원(7월)'!BQ37)</x:f>
        <x:v>0</x:v>
      </x:c>
      <x:c r="AG35" s="286" t="n">
        <x:f>SUM('초등학교+병설유치원(7월)'!BS37:'초등학교+병설유치원(7월)'!BW37)</x:f>
        <x:v>0</x:v>
      </x:c>
      <x:c r="AH35" s="286" t="n">
        <x:f>SUM('초등학교+병설유치원(7월)'!BY37:'초등학교+병설유치원(7월)'!CC37)</x:f>
        <x:v>0</x:v>
      </x:c>
      <x:c r="AI35" s="286" t="n">
        <x:f>SUM('초등학교+병설유치원(8월)'!Q37:'초등학교+병설유치원(8월)'!U37)</x:f>
        <x:v>2</x:v>
      </x:c>
      <x:c r="AJ35" s="286" t="n">
        <x:f>SUM('초등학교+병설유치원(8월)'!W37:'초등학교+병설유치원(8월)'!AA37)</x:f>
        <x:v>2</x:v>
      </x:c>
      <x:c r="AK35" s="286" t="n">
        <x:f>SUM('초등학교+병설유치원(8월)'!AC37:'초등학교+병설유치원(8월)'!AG37)</x:f>
        <x:v>2</x:v>
      </x:c>
      <x:c r="AL35" s="286" t="n">
        <x:f>SUM('초등학교+병설유치원(8월)'!AI37:'초등학교+병설유치원(8월)'!AM37)</x:f>
        <x:v>2</x:v>
      </x:c>
      <x:c r="AM35" s="286" t="n">
        <x:f>SUM('초등학교+병설유치원(8월)'!AO37:'초등학교+병설유치원(8월)'!AS37)</x:f>
        <x:v>2</x:v>
      </x:c>
      <x:c r="AN35" s="286" t="n">
        <x:f>SUM('초등학교+병설유치원(8월)'!AU37:'초등학교+병설유치원(8월)'!AY37)</x:f>
        <x:v>2</x:v>
      </x:c>
      <x:c r="AO35" s="286" t="n">
        <x:f>SUM('초등학교+병설유치원(8월)'!BA37:'초등학교+병설유치원(8월)'!BE37)</x:f>
        <x:v>2</x:v>
      </x:c>
      <x:c r="AP35" s="286" t="n">
        <x:f>SUM('초등학교+병설유치원(8월)'!BG37:'초등학교+병설유치원(8월)'!BK37)</x:f>
        <x:v>2</x:v>
      </x:c>
      <x:c r="AQ35" s="286" t="n">
        <x:f>SUM('초등학교+병설유치원(8월)'!BM37:'초등학교+병설유치원(8월)'!BQ37)</x:f>
        <x:v>3</x:v>
      </x:c>
      <x:c r="AR35" s="286" t="n">
        <x:f>SUM('초등학교+병설유치원(8월)'!BS37:'초등학교+병설유치원(8월)'!BW37)</x:f>
        <x:v>3</x:v>
      </x:c>
      <x:c r="AS35" s="286" t="n">
        <x:f>SUM('초등학교+병설유치원(8월)'!BY37:'초등학교+병설유치원(8월)'!CC37)</x:f>
        <x:v>0</x:v>
      </x:c>
      <x:c r="AT35" s="286" t="n">
        <x:f>SUM('초등학교+병설유치원(8월)'!CE37:'초등학교+병설유치원(8월)'!CI37)</x:f>
        <x:v>0</x:v>
      </x:c>
      <x:c r="AU35" s="286" t="n">
        <x:f>SUM('초등학교+병설유치원(8월)'!CK37:'초등학교+병설유치원(8월)'!CO37)</x:f>
        <x:v>0</x:v>
      </x:c>
      <x:c r="AV35" s="286" t="n">
        <x:f>SUM('초등학교+병설유치원(8월)'!CQ37:'초등학교+병설유치원(8월)'!CU37)</x:f>
        <x:v>0</x:v>
      </x:c>
      <x:c r="AW35" s="286" t="n">
        <x:f>SUM('초등학교+병설유치원(8월)'!CW37:'초등학교+병설유치원(8월)'!DA37)</x:f>
        <x:v>0</x:v>
      </x:c>
      <x:c r="AX35" s="286" t="n">
        <x:f>SUM('초등학교+병설유치원(8월)'!DC37:'초등학교+병설유치원(8월)'!DG37)</x:f>
        <x:v>0</x:v>
      </x:c>
      <x:c r="AY35" s="286" t="n">
        <x:f>SUM('초등학교+병설유치원(8월)'!DI37:'초등학교+병설유치원(8월)'!DM37)</x:f>
        <x:v>0</x:v>
      </x:c>
      <x:c r="AZ35" s="286" t="n">
        <x:f>SUM('초등학교+병설유치원(8월)'!DO37:'초등학교+병설유치원(8월)'!DS37)</x:f>
        <x:v>0</x:v>
      </x:c>
      <x:c r="BA35" s="286" t="n">
        <x:f>SUM('초등학교+병설유치원(8월)'!DU37:'초등학교+병설유치원(8월)'!DY37)</x:f>
        <x:v>0</x:v>
      </x:c>
      <x:c r="BB35" s="286" t="n">
        <x:f>SUM('초등학교+병설유치원(8월)'!EA37:'초등학교+병설유치원(8월)'!EE37)</x:f>
        <x:v>0</x:v>
      </x:c>
    </x:row>
    <x:row r="36" ht="44" customHeight="1">
      <x:c r="A36" s="282" t="n">
        <x:f>IF('초등학교+병설유치원(7월)'!A38="","",'초등학교+병설유치원(7월)'!A38)</x:f>
        <x:v>23</x:v>
      </x:c>
      <x:c r="B36" s="282" t="str">
        <x:v>초등학교</x:v>
      </x:c>
      <x:c r="C36" s="282" t="str">
        <x:f>IF('초등학교+병설유치원(7월)'!B38="","",'초등학교+병설유치원(7월)'!B38)</x:f>
        <x:v>이리영등초</x:v>
      </x:c>
      <x:c r="D36" s="281" t="str">
        <x:f>IF('초등학교+병설유치원(7월)'!C38="","",'초등학교+병설유치원(7월)'!C38)</x:f>
        <x:v>익산시 동서로 41길 37</x:v>
      </x:c>
      <x:c r="E36" s="281" t="str">
        <x:f>IF('초등학교+병설유치원(7월)'!D38="","",'초등학교+병설유치원(7월)'!D38)</x:f>
        <x:v>조연명
(063-720-2590
010-9335-5886)</x:v>
      </x:c>
      <x:c r="F36" s="281" t="str">
        <x:f>IF('초등학교+병설유치원(7월)'!E38="","",'초등학교+병설유치원(7월)'!E38)</x:f>
        <x:v>조연명
(063-720-2590
010-9335-5886)</x:v>
      </x:c>
      <x:c r="G36" s="284" t="n">
        <x:f>IF('초등학교+병설유치원(7월)'!F38="","",'초등학교+병설유치원(7월)'!F38)</x:f>
        <x:v>63</x:v>
      </x:c>
      <x:c r="H36" s="284" t="n">
        <x:f>IF('초등학교+병설유치원(7월)'!G38="","",'초등학교+병설유치원(7월)'!G38)</x:f>
        <x:v>22</x:v>
      </x:c>
      <x:c r="I36" s="284" t="n">
        <x:f>IF('초등학교+병설유치원(7월)'!H38="","",'초등학교+병설유치원(7월)'!H38)</x:f>
        <x:v>21</x:v>
      </x:c>
      <x:c r="J36" s="284" t="str">
        <x:f>IF('초등학교+병설유치원(7월)'!I38="","",'초등학교+병설유치원(7월)'!I38)</x:f>
      </x:c>
      <x:c r="K36" s="284" t="str">
        <x:f>IF('초등학교+병설유치원(7월)'!J38="","",'초등학교+병설유치원(7월)'!J38)</x:f>
      </x:c>
      <x:c r="L36" s="284" t="n">
        <x:f>IF('초등학교+병설유치원(7월)'!K38="","",'초등학교+병설유치원(7월)'!K38)</x:f>
        <x:v>20</x:v>
      </x:c>
      <x:c r="M36" s="285" t="n">
        <x:f>IF('초등학교+병설유치원(7월)'!L38="","",'초등학교+병설유치원(7월)'!L38)</x:f>
        <x:v>0.4930555555555556</x:v>
      </x:c>
      <x:c r="N36" s="281" t="str">
        <x:f>IF('초등학교+병설유치원(7월)'!M38="","",'초등학교+병설유치원(7월)'!M38)</x:f>
        <x:v>7.30.~8.20.
(15일)</x:v>
      </x:c>
      <x:c r="O36" s="281" t="str">
        <x:f>IF('초등학교+병설유치원(7월)'!N38="","",'초등학교+병설유치원(7월)'!N38)</x:f>
      </x:c>
      <x:c r="P36" s="282" t="str">
        <x:f>IF('초등학교+병설유치원(7월)'!O38="","",'초등학교+병설유치원(7월)'!O38)</x:f>
        <x:v>15일</x:v>
      </x:c>
      <x:c r="Q36" s="282" t="str">
        <x:f>IF('초등학교+병설유치원(7월)'!P38="","",'초등학교+병설유치원(7월)'!P38)</x:f>
        <x:v>배식</x:v>
      </x:c>
      <x:c r="R36" s="281" t="str">
        <x:f>IF('초등학교+병설유치원(7월)'!CF38="","",'초등학교+병설유치원(7월)'!CF38)</x:f>
        <x:v>돌봄1반</x:v>
      </x:c>
      <x:c r="S36" s="281" t="str">
        <x:f>IF('초등학교+병설유치원(7월)'!CG38="","",'초등학교+병설유치원(7월)'!CG38)</x:f>
        <x:v>김원희</x:v>
      </x:c>
      <x:c r="T36" s="281" t="str">
        <x:f>IF('초등학교+병설유치원(7월)'!CH38="","",'초등학교+병설유치원(7월)'!CH38)</x:f>
      </x:c>
      <x:c r="U36" s="288" t="n">
        <x:f>SUM(X36:AH36)</x:f>
        <x:v>126</x:v>
      </x:c>
      <x:c r="V36" s="288" t="n">
        <x:f>SUM(AI36:BB36)</x:f>
        <x:v>819</x:v>
      </x:c>
      <x:c r="W36" s="288" t="n">
        <x:f>U36+V36</x:f>
        <x:v>945</x:v>
      </x:c>
      <x:c r="X36" s="286" t="n">
        <x:f>SUM('초등학교+병설유치원(7월)'!Q38:'초등학교+병설유치원(7월)'!U38)</x:f>
        <x:v>0</x:v>
      </x:c>
      <x:c r="Y36" s="286" t="n">
        <x:f>SUM('초등학교+병설유치원(7월)'!W38:'초등학교+병설유치원(7월)'!AA38)</x:f>
        <x:v>0</x:v>
      </x:c>
      <x:c r="Z36" s="286" t="n">
        <x:f>SUM('초등학교+병설유치원(7월)'!AC38:'초등학교+병설유치원(7월)'!AG38)</x:f>
        <x:v>0</x:v>
      </x:c>
      <x:c r="AA36" s="286" t="n">
        <x:f>SUM('초등학교+병설유치원(7월)'!AI38:'초등학교+병설유치원(7월)'!AM38)</x:f>
        <x:v>0</x:v>
      </x:c>
      <x:c r="AB36" s="286" t="n">
        <x:f>SUM('초등학교+병설유치원(7월)'!AO38:'초등학교+병설유치원(7월)'!AS38)</x:f>
        <x:v>0</x:v>
      </x:c>
      <x:c r="AC36" s="286" t="n">
        <x:f>SUM('초등학교+병설유치원(7월)'!AU38:'초등학교+병설유치원(7월)'!AY38)</x:f>
        <x:v>0</x:v>
      </x:c>
      <x:c r="AD36" s="286" t="n">
        <x:f>SUM('초등학교+병설유치원(7월)'!BA38:'초등학교+병설유치원(7월)'!BE38)</x:f>
        <x:v>0</x:v>
      </x:c>
      <x:c r="AE36" s="286" t="n">
        <x:f>SUM('초등학교+병설유치원(7월)'!BG38:'초등학교+병설유치원(7월)'!BK38)</x:f>
        <x:v>0</x:v>
      </x:c>
      <x:c r="AF36" s="286" t="n">
        <x:f>SUM('초등학교+병설유치원(7월)'!BM38:'초등학교+병설유치원(7월)'!BQ38)</x:f>
        <x:v>0</x:v>
      </x:c>
      <x:c r="AG36" s="286" t="n">
        <x:f>SUM('초등학교+병설유치원(7월)'!BS38:'초등학교+병설유치원(7월)'!BW38)</x:f>
        <x:v>63</x:v>
      </x:c>
      <x:c r="AH36" s="286" t="n">
        <x:f>SUM('초등학교+병설유치원(7월)'!BY38:'초등학교+병설유치원(7월)'!CC38)</x:f>
        <x:v>63</x:v>
      </x:c>
      <x:c r="AI36" s="286" t="n">
        <x:f>SUM('초등학교+병설유치원(8월)'!Q38:'초등학교+병설유치원(8월)'!U38)</x:f>
        <x:v>63</x:v>
      </x:c>
      <x:c r="AJ36" s="286" t="n">
        <x:f>SUM('초등학교+병설유치원(8월)'!W38:'초등학교+병설유치원(8월)'!AA38)</x:f>
        <x:v>63</x:v>
      </x:c>
      <x:c r="AK36" s="286" t="n">
        <x:f>SUM('초등학교+병설유치원(8월)'!AC38:'초등학교+병설유치원(8월)'!AG38)</x:f>
        <x:v>63</x:v>
      </x:c>
      <x:c r="AL36" s="286" t="n">
        <x:f>SUM('초등학교+병설유치원(8월)'!AI38:'초등학교+병설유치원(8월)'!AM38)</x:f>
        <x:v>63</x:v>
      </x:c>
      <x:c r="AM36" s="286" t="n">
        <x:f>SUM('초등학교+병설유치원(8월)'!AO38:'초등학교+병설유치원(8월)'!AS38)</x:f>
        <x:v>63</x:v>
      </x:c>
      <x:c r="AN36" s="286" t="n">
        <x:f>SUM('초등학교+병설유치원(8월)'!AU38:'초등학교+병설유치원(8월)'!AY38)</x:f>
        <x:v>63</x:v>
      </x:c>
      <x:c r="AO36" s="286" t="n">
        <x:f>SUM('초등학교+병설유치원(8월)'!BA38:'초등학교+병설유치원(8월)'!BE38)</x:f>
        <x:v>63</x:v>
      </x:c>
      <x:c r="AP36" s="286" t="n">
        <x:f>SUM('초등학교+병설유치원(8월)'!BG38:'초등학교+병설유치원(8월)'!BK38)</x:f>
        <x:v>63</x:v>
      </x:c>
      <x:c r="AQ36" s="286" t="n">
        <x:f>SUM('초등학교+병설유치원(8월)'!BM38:'초등학교+병설유치원(8월)'!BQ38)</x:f>
        <x:v>63</x:v>
      </x:c>
      <x:c r="AR36" s="286" t="n">
        <x:f>SUM('초등학교+병설유치원(8월)'!BS38:'초등학교+병설유치원(8월)'!BW38)</x:f>
        <x:v>63</x:v>
      </x:c>
      <x:c r="AS36" s="286" t="n">
        <x:f>SUM('초등학교+병설유치원(8월)'!BY38:'초등학교+병설유치원(8월)'!CC38)</x:f>
        <x:v>63</x:v>
      </x:c>
      <x:c r="AT36" s="286" t="n">
        <x:f>SUM('초등학교+병설유치원(8월)'!CE38:'초등학교+병설유치원(8월)'!CI38)</x:f>
        <x:v>63</x:v>
      </x:c>
      <x:c r="AU36" s="286" t="n">
        <x:f>SUM('초등학교+병설유치원(8월)'!CK38:'초등학교+병설유치원(8월)'!CO38)</x:f>
        <x:v>63</x:v>
      </x:c>
      <x:c r="AV36" s="286" t="n">
        <x:f>SUM('초등학교+병설유치원(8월)'!CQ38:'초등학교+병설유치원(8월)'!CU38)</x:f>
        <x:v>0</x:v>
      </x:c>
      <x:c r="AW36" s="286" t="n">
        <x:f>SUM('초등학교+병설유치원(8월)'!CW38:'초등학교+병설유치원(8월)'!DA38)</x:f>
        <x:v>0</x:v>
      </x:c>
      <x:c r="AX36" s="286" t="n">
        <x:f>SUM('초등학교+병설유치원(8월)'!DC38:'초등학교+병설유치원(8월)'!DG38)</x:f>
        <x:v>0</x:v>
      </x:c>
      <x:c r="AY36" s="286" t="n">
        <x:f>SUM('초등학교+병설유치원(8월)'!DI38:'초등학교+병설유치원(8월)'!DM38)</x:f>
        <x:v>0</x:v>
      </x:c>
      <x:c r="AZ36" s="286" t="n">
        <x:f>SUM('초등학교+병설유치원(8월)'!DO38:'초등학교+병설유치원(8월)'!DS38)</x:f>
        <x:v>0</x:v>
      </x:c>
      <x:c r="BA36" s="286" t="n">
        <x:f>SUM('초등학교+병설유치원(8월)'!DU38:'초등학교+병설유치원(8월)'!DY38)</x:f>
        <x:v>0</x:v>
      </x:c>
      <x:c r="BB36" s="286" t="n">
        <x:f>SUM('초등학교+병설유치원(8월)'!EA38:'초등학교+병설유치원(8월)'!EE38)</x:f>
        <x:v>0</x:v>
      </x:c>
    </x:row>
    <x:row r="37" ht="44" customHeight="1">
      <x:c r="A37" s="282" t="n">
        <x:f>IF('초등학교+병설유치원(7월)'!A39="","",'초등학교+병설유치원(7월)'!A39)</x:f>
        <x:v>24</x:v>
      </x:c>
      <x:c r="B37" s="282" t="str">
        <x:v>초등학교</x:v>
      </x:c>
      <x:c r="C37" s="282" t="str">
        <x:f>IF('초등학교+병설유치원(7월)'!B39="","",'초등학교+병설유치원(7월)'!B39)</x:f>
        <x:v>이리중앙초</x:v>
      </x:c>
      <x:c r="D37" s="281" t="str">
        <x:f>IF('초등학교+병설유치원(7월)'!C39="","",'초등학교+병설유치원(7월)'!C39)</x:f>
        <x:v>익산시 인북로 77</x:v>
      </x:c>
      <x:c r="E37" s="281" t="str">
        <x:f>IF('초등학교+병설유치원(7월)'!D39="","",'초등학교+병설유치원(7월)'!D39)</x:f>
        <x:v>정영희
(070-8852-0016
010-6808-0471)</x:v>
      </x:c>
      <x:c r="F37" s="281" t="str">
        <x:f>IF('초등학교+병설유치원(7월)'!E39="","",'초등학교+병설유치원(7월)'!E39)</x:f>
        <x:v>정선희
(010-6236-2486)</x:v>
      </x:c>
      <x:c r="G37" s="284" t="n">
        <x:f>IF('초등학교+병설유치원(7월)'!F39="","",'초등학교+병설유치원(7월)'!F39)</x:f>
        <x:v>17</x:v>
      </x:c>
      <x:c r="H37" s="284" t="n">
        <x:f>IF('초등학교+병설유치원(7월)'!G39="","",'초등학교+병설유치원(7월)'!G39)</x:f>
        <x:v>17</x:v>
      </x:c>
      <x:c r="I37" s="284" t="str">
        <x:f>IF('초등학교+병설유치원(7월)'!H39="","",'초등학교+병설유치원(7월)'!H39)</x:f>
      </x:c>
      <x:c r="J37" s="284" t="str">
        <x:f>IF('초등학교+병설유치원(7월)'!I39="","",'초등학교+병설유치원(7월)'!I39)</x:f>
      </x:c>
      <x:c r="K37" s="284" t="str">
        <x:f>IF('초등학교+병설유치원(7월)'!J39="","",'초등학교+병설유치원(7월)'!J39)</x:f>
      </x:c>
      <x:c r="L37" s="284" t="str">
        <x:f>IF('초등학교+병설유치원(7월)'!K39="","",'초등학교+병설유치원(7월)'!K39)</x:f>
      </x:c>
      <x:c r="M37" s="285" t="n">
        <x:f>IF('초등학교+병설유치원(7월)'!L39="","",'초등학교+병설유치원(7월)'!L39)</x:f>
        <x:v>0.5</x:v>
      </x:c>
      <x:c r="N37" s="281" t="str">
        <x:f>IF('초등학교+병설유치원(7월)'!M39="","",'초등학교+병설유치원(7월)'!M39)</x:f>
        <x:v>7.28.~8.19.
(16일)</x:v>
      </x:c>
      <x:c r="O37" s="281" t="str">
        <x:f>IF('초등학교+병설유치원(7월)'!N39="","",'초등학교+병설유치원(7월)'!N39)</x:f>
      </x:c>
      <x:c r="P37" s="282" t="str">
        <x:f>IF('초등학교+병설유치원(7월)'!O39="","",'초등학교+병설유치원(7월)'!O39)</x:f>
        <x:v>16일</x:v>
      </x:c>
      <x:c r="Q37" s="282" t="str">
        <x:f>IF('초등학교+병설유치원(7월)'!P39="","",'초등학교+병설유치원(7월)'!P39)</x:f>
        <x:v>배식</x:v>
      </x:c>
      <x:c r="R37" s="281" t="str">
        <x:f>IF('초등학교+병설유치원(7월)'!CF39="","",'초등학교+병설유치원(7월)'!CF39)</x:f>
        <x:v>돌봄1반</x:v>
      </x:c>
      <x:c r="S37" s="281" t="str">
        <x:f>IF('초등학교+병설유치원(7월)'!CG39="","",'초등학교+병설유치원(7월)'!CG39)</x:f>
        <x:v>정영희</x:v>
      </x:c>
      <x:c r="T37" s="281" t="str">
        <x:f>IF('초등학교+병설유치원(7월)'!CH39="","",'초등학교+병설유치원(7월)'!CH39)</x:f>
      </x:c>
      <x:c r="U37" s="288" t="n">
        <x:f>SUM(X37:AH37)</x:f>
        <x:v>68</x:v>
      </x:c>
      <x:c r="V37" s="288" t="n">
        <x:f>SUM(AI37:BB37)</x:f>
        <x:v>204</x:v>
      </x:c>
      <x:c r="W37" s="288" t="n">
        <x:f>U37+V37</x:f>
        <x:v>272</x:v>
      </x:c>
      <x:c r="X37" s="286" t="n">
        <x:f>SUM('초등학교+병설유치원(7월)'!Q39:'초등학교+병설유치원(7월)'!U39)</x:f>
        <x:v>0</x:v>
      </x:c>
      <x:c r="Y37" s="286" t="n">
        <x:f>SUM('초등학교+병설유치원(7월)'!W39:'초등학교+병설유치원(7월)'!AA39)</x:f>
        <x:v>0</x:v>
      </x:c>
      <x:c r="Z37" s="286" t="n">
        <x:f>SUM('초등학교+병설유치원(7월)'!AC39:'초등학교+병설유치원(7월)'!AG39)</x:f>
        <x:v>0</x:v>
      </x:c>
      <x:c r="AA37" s="286" t="n">
        <x:f>SUM('초등학교+병설유치원(7월)'!AI39:'초등학교+병설유치원(7월)'!AM39)</x:f>
        <x:v>0</x:v>
      </x:c>
      <x:c r="AB37" s="286" t="n">
        <x:f>SUM('초등학교+병설유치원(7월)'!AO39:'초등학교+병설유치원(7월)'!AS39)</x:f>
        <x:v>0</x:v>
      </x:c>
      <x:c r="AC37" s="286" t="n">
        <x:f>SUM('초등학교+병설유치원(7월)'!AU39:'초등학교+병설유치원(7월)'!AY39)</x:f>
        <x:v>0</x:v>
      </x:c>
      <x:c r="AD37" s="286" t="n">
        <x:f>SUM('초등학교+병설유치원(7월)'!BA39:'초등학교+병설유치원(7월)'!BE39)</x:f>
        <x:v>0</x:v>
      </x:c>
      <x:c r="AE37" s="286" t="n">
        <x:f>SUM('초등학교+병설유치원(7월)'!BG39:'초등학교+병설유치원(7월)'!BK39)</x:f>
        <x:v>17</x:v>
      </x:c>
      <x:c r="AF37" s="286" t="n">
        <x:f>SUM('초등학교+병설유치원(7월)'!BM39:'초등학교+병설유치원(7월)'!BQ39)</x:f>
        <x:v>17</x:v>
      </x:c>
      <x:c r="AG37" s="286" t="n">
        <x:f>SUM('초등학교+병설유치원(7월)'!BS39:'초등학교+병설유치원(7월)'!BW39)</x:f>
        <x:v>17</x:v>
      </x:c>
      <x:c r="AH37" s="286" t="n">
        <x:f>SUM('초등학교+병설유치원(7월)'!BY39:'초등학교+병설유치원(7월)'!CC39)</x:f>
        <x:v>17</x:v>
      </x:c>
      <x:c r="AI37" s="286" t="n">
        <x:f>SUM('초등학교+병설유치원(8월)'!Q39:'초등학교+병설유치원(8월)'!U39)</x:f>
        <x:v>17</x:v>
      </x:c>
      <x:c r="AJ37" s="286" t="n">
        <x:f>SUM('초등학교+병설유치원(8월)'!W39:'초등학교+병설유치원(8월)'!AA39)</x:f>
        <x:v>17</x:v>
      </x:c>
      <x:c r="AK37" s="286" t="n">
        <x:f>SUM('초등학교+병설유치원(8월)'!AC39:'초등학교+병설유치원(8월)'!AG39)</x:f>
        <x:v>17</x:v>
      </x:c>
      <x:c r="AL37" s="286" t="n">
        <x:f>SUM('초등학교+병설유치원(8월)'!AI39:'초등학교+병설유치원(8월)'!AM39)</x:f>
        <x:v>17</x:v>
      </x:c>
      <x:c r="AM37" s="286" t="n">
        <x:f>SUM('초등학교+병설유치원(8월)'!AO39:'초등학교+병설유치원(8월)'!AS39)</x:f>
        <x:v>17</x:v>
      </x:c>
      <x:c r="AN37" s="286" t="n">
        <x:f>SUM('초등학교+병설유치원(8월)'!AU39:'초등학교+병설유치원(8월)'!AY39)</x:f>
        <x:v>17</x:v>
      </x:c>
      <x:c r="AO37" s="286" t="n">
        <x:f>SUM('초등학교+병설유치원(8월)'!BA39:'초등학교+병설유치원(8월)'!BE39)</x:f>
        <x:v>17</x:v>
      </x:c>
      <x:c r="AP37" s="286" t="n">
        <x:f>SUM('초등학교+병설유치원(8월)'!BG39:'초등학교+병설유치원(8월)'!BK39)</x:f>
        <x:v>17</x:v>
      </x:c>
      <x:c r="AQ37" s="286" t="n">
        <x:f>SUM('초등학교+병설유치원(8월)'!BM39:'초등학교+병설유치원(8월)'!BQ39)</x:f>
        <x:v>17</x:v>
      </x:c>
      <x:c r="AR37" s="286" t="n">
        <x:f>SUM('초등학교+병설유치원(8월)'!BS39:'초등학교+병설유치원(8월)'!BW39)</x:f>
        <x:v>17</x:v>
      </x:c>
      <x:c r="AS37" s="286" t="n">
        <x:f>SUM('초등학교+병설유치원(8월)'!BY39:'초등학교+병설유치원(8월)'!CC39)</x:f>
        <x:v>17</x:v>
      </x:c>
      <x:c r="AT37" s="286" t="n">
        <x:f>SUM('초등학교+병설유치원(8월)'!CE39:'초등학교+병설유치원(8월)'!CI39)</x:f>
        <x:v>17</x:v>
      </x:c>
      <x:c r="AU37" s="286" t="n">
        <x:f>SUM('초등학교+병설유치원(8월)'!CK39:'초등학교+병설유치원(8월)'!CO39)</x:f>
        <x:v>0</x:v>
      </x:c>
      <x:c r="AV37" s="286" t="n">
        <x:f>SUM('초등학교+병설유치원(8월)'!CQ39:'초등학교+병설유치원(8월)'!CU39)</x:f>
        <x:v>0</x:v>
      </x:c>
      <x:c r="AW37" s="286" t="n">
        <x:f>SUM('초등학교+병설유치원(8월)'!CW39:'초등학교+병설유치원(8월)'!DA39)</x:f>
        <x:v>0</x:v>
      </x:c>
      <x:c r="AX37" s="286" t="n">
        <x:f>SUM('초등학교+병설유치원(8월)'!DC39:'초등학교+병설유치원(8월)'!DG39)</x:f>
        <x:v>0</x:v>
      </x:c>
      <x:c r="AY37" s="286" t="n">
        <x:f>SUM('초등학교+병설유치원(8월)'!DI39:'초등학교+병설유치원(8월)'!DM39)</x:f>
        <x:v>0</x:v>
      </x:c>
      <x:c r="AZ37" s="286" t="n">
        <x:f>SUM('초등학교+병설유치원(8월)'!DO39:'초등학교+병설유치원(8월)'!DS39)</x:f>
        <x:v>0</x:v>
      </x:c>
      <x:c r="BA37" s="286" t="n">
        <x:f>SUM('초등학교+병설유치원(8월)'!DU39:'초등학교+병설유치원(8월)'!DY39)</x:f>
        <x:v>0</x:v>
      </x:c>
      <x:c r="BB37" s="286" t="n">
        <x:f>SUM('초등학교+병설유치원(8월)'!EA39:'초등학교+병설유치원(8월)'!EE39)</x:f>
        <x:v>0</x:v>
      </x:c>
    </x:row>
    <x:row r="38" ht="44" customHeight="1">
      <x:c r="A38" s="282" t="str">
        <x:f>IF('초등학교+병설유치원(7월)'!A40="","",'초등학교+병설유치원(7월)'!A40)</x:f>
        <x:v>24-1</x:v>
      </x:c>
      <x:c r="B38" s="282" t="str">
        <x:v>병설유치원</x:v>
      </x:c>
      <x:c r="C38" s="282" t="str">
        <x:f>IF('초등학교+병설유치원(7월)'!B40="","",'초등학교+병설유치원(7월)'!B40)</x:f>
        <x:v>이리중앙초 병설유치원</x:v>
      </x:c>
      <x:c r="D38" s="281" t="str">
        <x:f>IF('초등학교+병설유치원(7월)'!C40="","",'초등학교+병설유치원(7월)'!C40)</x:f>
        <x:v>익산시 인북로 77</x:v>
      </x:c>
      <x:c r="E38" s="281" t="str">
        <x:f>IF('초등학교+병설유치원(7월)'!D40="","",'초등학교+병설유치원(7월)'!D40)</x:f>
        <x:v>이유리
(010-9711-7724)</x:v>
      </x:c>
      <x:c r="F38" s="281" t="str">
        <x:f>IF('초등학교+병설유치원(7월)'!E40="","",'초등학교+병설유치원(7월)'!E40)</x:f>
        <x:v>김미숙
(010-8350-5077)</x:v>
      </x:c>
      <x:c r="G38" s="284" t="n">
        <x:f>IF('초등학교+병설유치원(7월)'!F40="","",'초등학교+병설유치원(7월)'!F40)</x:f>
        <x:v>4</x:v>
      </x:c>
      <x:c r="H38" s="284" t="n">
        <x:f>IF('초등학교+병설유치원(7월)'!G40="","",'초등학교+병설유치원(7월)'!G40)</x:f>
        <x:v>4</x:v>
      </x:c>
      <x:c r="I38" s="284" t="str">
        <x:f>IF('초등학교+병설유치원(7월)'!H40="","",'초등학교+병설유치원(7월)'!H40)</x:f>
      </x:c>
      <x:c r="J38" s="284" t="str">
        <x:f>IF('초등학교+병설유치원(7월)'!I40="","",'초등학교+병설유치원(7월)'!I40)</x:f>
      </x:c>
      <x:c r="K38" s="284" t="str">
        <x:f>IF('초등학교+병설유치원(7월)'!J40="","",'초등학교+병설유치원(7월)'!J40)</x:f>
      </x:c>
      <x:c r="L38" s="284" t="str">
        <x:f>IF('초등학교+병설유치원(7월)'!K40="","",'초등학교+병설유치원(7월)'!K40)</x:f>
      </x:c>
      <x:c r="M38" s="285" t="n">
        <x:f>IF('초등학교+병설유치원(7월)'!L40="","",'초등학교+병설유치원(7월)'!L40)</x:f>
        <x:v>0.4791666666666667</x:v>
      </x:c>
      <x:c r="N38" s="281" t="str">
        <x:f>IF('초등학교+병설유치원(7월)'!M40="","",'초등학교+병설유치원(7월)'!M40)</x:f>
        <x:v>7.28.~8.19.(16일)</x:v>
      </x:c>
      <x:c r="O38" s="281" t="str">
        <x:f>IF('초등학교+병설유치원(7월)'!N40="","",'초등학교+병설유치원(7월)'!N40)</x:f>
      </x:c>
      <x:c r="P38" s="282" t="str">
        <x:f>IF('초등학교+병설유치원(7월)'!O40="","",'초등학교+병설유치원(7월)'!O40)</x:f>
        <x:v>16일</x:v>
      </x:c>
      <x:c r="Q38" s="282" t="str">
        <x:f>IF('초등학교+병설유치원(7월)'!P40="","",'초등학교+병설유치원(7월)'!P40)</x:f>
        <x:v>도시락</x:v>
      </x:c>
      <x:c r="R38" s="281" t="str">
        <x:f>IF('초등학교+병설유치원(7월)'!CF40="","",'초등학교+병설유치원(7월)'!CF40)</x:f>
        <x:v>초등 돌봄교실</x:v>
      </x:c>
      <x:c r="S38" s="281" t="str">
        <x:f>IF('초등학교+병설유치원(7월)'!CG40="","",'초등학교+병설유치원(7월)'!CG40)</x:f>
        <x:v>정영희</x:v>
      </x:c>
      <x:c r="T38" s="281" t="str">
        <x:f>IF('초등학교+병설유치원(7월)'!CH40="","",'초등학교+병설유치원(7월)'!CH40)</x:f>
      </x:c>
      <x:c r="U38" s="288" t="n">
        <x:f>SUM(X38:AH38)</x:f>
        <x:v>16</x:v>
      </x:c>
      <x:c r="V38" s="288" t="n">
        <x:f>SUM(AI38:BB38)</x:f>
        <x:v>48</x:v>
      </x:c>
      <x:c r="W38" s="288" t="n">
        <x:f>U38+V38</x:f>
        <x:v>64</x:v>
      </x:c>
      <x:c r="X38" s="286" t="n">
        <x:f>SUM('초등학교+병설유치원(7월)'!Q40:'초등학교+병설유치원(7월)'!U40)</x:f>
        <x:v>0</x:v>
      </x:c>
      <x:c r="Y38" s="286" t="n">
        <x:f>SUM('초등학교+병설유치원(7월)'!W40:'초등학교+병설유치원(7월)'!AA40)</x:f>
        <x:v>0</x:v>
      </x:c>
      <x:c r="Z38" s="286" t="n">
        <x:f>SUM('초등학교+병설유치원(7월)'!AC40:'초등학교+병설유치원(7월)'!AG40)</x:f>
        <x:v>0</x:v>
      </x:c>
      <x:c r="AA38" s="286" t="n">
        <x:f>SUM('초등학교+병설유치원(7월)'!AI40:'초등학교+병설유치원(7월)'!AM40)</x:f>
        <x:v>0</x:v>
      </x:c>
      <x:c r="AB38" s="286" t="n">
        <x:f>SUM('초등학교+병설유치원(7월)'!AO40:'초등학교+병설유치원(7월)'!AS40)</x:f>
        <x:v>0</x:v>
      </x:c>
      <x:c r="AC38" s="286" t="n">
        <x:f>SUM('초등학교+병설유치원(7월)'!AU40:'초등학교+병설유치원(7월)'!AY40)</x:f>
        <x:v>0</x:v>
      </x:c>
      <x:c r="AD38" s="286" t="n">
        <x:f>SUM('초등학교+병설유치원(7월)'!BA40:'초등학교+병설유치원(7월)'!BE40)</x:f>
        <x:v>0</x:v>
      </x:c>
      <x:c r="AE38" s="286" t="n">
        <x:f>SUM('초등학교+병설유치원(7월)'!BG40:'초등학교+병설유치원(7월)'!BK40)</x:f>
        <x:v>4</x:v>
      </x:c>
      <x:c r="AF38" s="286" t="n">
        <x:f>SUM('초등학교+병설유치원(7월)'!BM40:'초등학교+병설유치원(7월)'!BQ40)</x:f>
        <x:v>4</x:v>
      </x:c>
      <x:c r="AG38" s="286" t="n">
        <x:f>SUM('초등학교+병설유치원(7월)'!BS40:'초등학교+병설유치원(7월)'!BW40)</x:f>
        <x:v>4</x:v>
      </x:c>
      <x:c r="AH38" s="286" t="n">
        <x:f>SUM('초등학교+병설유치원(7월)'!BY40:'초등학교+병설유치원(7월)'!CC40)</x:f>
        <x:v>4</x:v>
      </x:c>
      <x:c r="AI38" s="286" t="n">
        <x:f>SUM('초등학교+병설유치원(8월)'!Q40:'초등학교+병설유치원(8월)'!U40)</x:f>
        <x:v>4</x:v>
      </x:c>
      <x:c r="AJ38" s="286" t="n">
        <x:f>SUM('초등학교+병설유치원(8월)'!W40:'초등학교+병설유치원(8월)'!AA40)</x:f>
        <x:v>4</x:v>
      </x:c>
      <x:c r="AK38" s="286" t="n">
        <x:f>SUM('초등학교+병설유치원(8월)'!AC40:'초등학교+병설유치원(8월)'!AG40)</x:f>
        <x:v>4</x:v>
      </x:c>
      <x:c r="AL38" s="286" t="n">
        <x:f>SUM('초등학교+병설유치원(8월)'!AI40:'초등학교+병설유치원(8월)'!AM40)</x:f>
        <x:v>4</x:v>
      </x:c>
      <x:c r="AM38" s="286" t="n">
        <x:f>SUM('초등학교+병설유치원(8월)'!AO40:'초등학교+병설유치원(8월)'!AS40)</x:f>
        <x:v>4</x:v>
      </x:c>
      <x:c r="AN38" s="286" t="n">
        <x:f>SUM('초등학교+병설유치원(8월)'!AU40:'초등학교+병설유치원(8월)'!AY40)</x:f>
        <x:v>4</x:v>
      </x:c>
      <x:c r="AO38" s="286" t="n">
        <x:f>SUM('초등학교+병설유치원(8월)'!BA40:'초등학교+병설유치원(8월)'!BE40)</x:f>
        <x:v>4</x:v>
      </x:c>
      <x:c r="AP38" s="286" t="n">
        <x:f>SUM('초등학교+병설유치원(8월)'!BG40:'초등학교+병설유치원(8월)'!BK40)</x:f>
        <x:v>4</x:v>
      </x:c>
      <x:c r="AQ38" s="286" t="n">
        <x:f>SUM('초등학교+병설유치원(8월)'!BM40:'초등학교+병설유치원(8월)'!BQ40)</x:f>
        <x:v>4</x:v>
      </x:c>
      <x:c r="AR38" s="286" t="n">
        <x:f>SUM('초등학교+병설유치원(8월)'!BS40:'초등학교+병설유치원(8월)'!BW40)</x:f>
        <x:v>4</x:v>
      </x:c>
      <x:c r="AS38" s="286" t="n">
        <x:f>SUM('초등학교+병설유치원(8월)'!BY40:'초등학교+병설유치원(8월)'!CC40)</x:f>
        <x:v>4</x:v>
      </x:c>
      <x:c r="AT38" s="286" t="n">
        <x:f>SUM('초등학교+병설유치원(8월)'!CE40:'초등학교+병설유치원(8월)'!CI40)</x:f>
        <x:v>4</x:v>
      </x:c>
      <x:c r="AU38" s="286" t="n">
        <x:f>SUM('초등학교+병설유치원(8월)'!CK40:'초등학교+병설유치원(8월)'!CO40)</x:f>
        <x:v>0</x:v>
      </x:c>
      <x:c r="AV38" s="286" t="n">
        <x:f>SUM('초등학교+병설유치원(8월)'!CQ40:'초등학교+병설유치원(8월)'!CU40)</x:f>
        <x:v>0</x:v>
      </x:c>
      <x:c r="AW38" s="286" t="n">
        <x:f>SUM('초등학교+병설유치원(8월)'!CW40:'초등학교+병설유치원(8월)'!DA40)</x:f>
        <x:v>0</x:v>
      </x:c>
      <x:c r="AX38" s="286" t="n">
        <x:f>SUM('초등학교+병설유치원(8월)'!DC40:'초등학교+병설유치원(8월)'!DG40)</x:f>
        <x:v>0</x:v>
      </x:c>
      <x:c r="AY38" s="286" t="n">
        <x:f>SUM('초등학교+병설유치원(8월)'!DI40:'초등학교+병설유치원(8월)'!DM40)</x:f>
        <x:v>0</x:v>
      </x:c>
      <x:c r="AZ38" s="286" t="n">
        <x:f>SUM('초등학교+병설유치원(8월)'!DO40:'초등학교+병설유치원(8월)'!DS40)</x:f>
        <x:v>0</x:v>
      </x:c>
      <x:c r="BA38" s="286" t="n">
        <x:f>SUM('초등학교+병설유치원(8월)'!DU40:'초등학교+병설유치원(8월)'!DY40)</x:f>
        <x:v>0</x:v>
      </x:c>
      <x:c r="BB38" s="286" t="n">
        <x:f>SUM('초등학교+병설유치원(8월)'!EA40:'초등학교+병설유치원(8월)'!EE40)</x:f>
        <x:v>0</x:v>
      </x:c>
    </x:row>
    <x:row r="39" ht="44" customHeight="1">
      <x:c r="A39" s="282" t="n">
        <x:f>IF('초등학교+병설유치원(7월)'!A41="","",'초등학교+병설유치원(7월)'!A41)</x:f>
        <x:v>25</x:v>
      </x:c>
      <x:c r="B39" s="282" t="str">
        <x:v>초등학교</x:v>
      </x:c>
      <x:c r="C39" s="282" t="str">
        <x:f>IF('초등학교+병설유치원(7월)'!B41="","",'초등학교+병설유치원(7월)'!B41)</x:f>
        <x:v>이리초</x:v>
      </x:c>
      <x:c r="D39" s="281" t="str">
        <x:f>IF('초등학교+병설유치원(7월)'!C41="","",'초등학교+병설유치원(7월)'!C41)</x:f>
        <x:v>익산시 중앙로 15길 20</x:v>
      </x:c>
      <x:c r="E39" s="281" t="str">
        <x:f>IF('초등학교+병설유치원(7월)'!D41="","",'초등학교+병설유치원(7월)'!D41)</x:f>
        <x:v>최현희
(070-4332-9857
010-2639-4991)</x:v>
      </x:c>
      <x:c r="F39" s="281" t="str">
        <x:f>IF('초등학교+병설유치원(7월)'!E41="","",'초등학교+병설유치원(7월)'!E41)</x:f>
        <x:v>이현라
(063-722-0122)</x:v>
      </x:c>
      <x:c r="G39" s="284" t="n">
        <x:f>IF('초등학교+병설유치원(7월)'!F41="","",'초등학교+병설유치원(7월)'!F41)</x:f>
        <x:v>85</x:v>
      </x:c>
      <x:c r="H39" s="284" t="n">
        <x:f>IF('초등학교+병설유치원(7월)'!G41="","",'초등학교+병설유치원(7월)'!G41)</x:f>
        <x:v>23</x:v>
      </x:c>
      <x:c r="I39" s="284" t="n">
        <x:f>IF('초등학교+병설유치원(7월)'!H41="","",'초등학교+병설유치원(7월)'!H41)</x:f>
        <x:v>22</x:v>
      </x:c>
      <x:c r="J39" s="284" t="n">
        <x:f>IF('초등학교+병설유치원(7월)'!I41="","",'초등학교+병설유치원(7월)'!I41)</x:f>
        <x:v>19</x:v>
      </x:c>
      <x:c r="K39" s="284" t="str">
        <x:f>IF('초등학교+병설유치원(7월)'!J41="","",'초등학교+병설유치원(7월)'!J41)</x:f>
      </x:c>
      <x:c r="L39" s="284" t="n">
        <x:f>IF('초등학교+병설유치원(7월)'!K41="","",'초등학교+병설유치원(7월)'!K41)</x:f>
        <x:v>21</x:v>
      </x:c>
      <x:c r="M39" s="285" t="n">
        <x:f>IF('초등학교+병설유치원(7월)'!L41="","",'초등학교+병설유치원(7월)'!L41)</x:f>
        <x:v>0.4791666666666667</x:v>
      </x:c>
      <x:c r="N39" s="281" t="str">
        <x:f>IF('초등학교+병설유치원(7월)'!M41="","",'초등학교+병설유치원(7월)'!M41)</x:f>
        <x:v>8.3.~8.31.
(20일)</x:v>
      </x:c>
      <x:c r="O39" s="281" t="str">
        <x:f>IF('초등학교+병설유치원(7월)'!N41="","",'초등학교+병설유치원(7월)'!N41)</x:f>
      </x:c>
      <x:c r="P39" s="282" t="str">
        <x:f>IF('초등학교+병설유치원(7월)'!O41="","",'초등학교+병설유치원(7월)'!O41)</x:f>
        <x:v>20일</x:v>
      </x:c>
      <x:c r="Q39" s="282" t="str">
        <x:f>IF('초등학교+병설유치원(7월)'!P41="","",'초등학교+병설유치원(7월)'!P41)</x:f>
        <x:v>배식</x:v>
      </x:c>
      <x:c r="R39" s="281" t="str">
        <x:f>IF('초등학교+병설유치원(7월)'!CF41="","",'초등학교+병설유치원(7월)'!CF41)</x:f>
        <x:v>돌봄1반</x:v>
      </x:c>
      <x:c r="S39" s="281" t="str">
        <x:f>IF('초등학교+병설유치원(7월)'!CG41="","",'초등학교+병설유치원(7월)'!CG41)</x:f>
        <x:v>최현희</x:v>
      </x:c>
      <x:c r="T39" s="281" t="str">
        <x:f>IF('초등학교+병설유치원(7월)'!CH41="","",'초등학교+병설유치원(7월)'!CH41)</x:f>
      </x:c>
      <x:c r="U39" s="288" t="n">
        <x:f>SUM(X39:AH39)</x:f>
        <x:v>0</x:v>
      </x:c>
      <x:c r="V39" s="288" t="n">
        <x:f>SUM(AI39:BB39)</x:f>
        <x:v>1700</x:v>
      </x:c>
      <x:c r="W39" s="288" t="n">
        <x:f>U39+V39</x:f>
        <x:v>1700</x:v>
      </x:c>
      <x:c r="X39" s="286" t="n">
        <x:f>SUM('초등학교+병설유치원(7월)'!Q41:'초등학교+병설유치원(7월)'!U41)</x:f>
        <x:v>0</x:v>
      </x:c>
      <x:c r="Y39" s="286" t="n">
        <x:f>SUM('초등학교+병설유치원(7월)'!W41:'초등학교+병설유치원(7월)'!AA41)</x:f>
        <x:v>0</x:v>
      </x:c>
      <x:c r="Z39" s="286" t="n">
        <x:f>SUM('초등학교+병설유치원(7월)'!AC41:'초등학교+병설유치원(7월)'!AG41)</x:f>
        <x:v>0</x:v>
      </x:c>
      <x:c r="AA39" s="286" t="n">
        <x:f>SUM('초등학교+병설유치원(7월)'!AI41:'초등학교+병설유치원(7월)'!AM41)</x:f>
        <x:v>0</x:v>
      </x:c>
      <x:c r="AB39" s="286" t="n">
        <x:f>SUM('초등학교+병설유치원(7월)'!AO41:'초등학교+병설유치원(7월)'!AS41)</x:f>
        <x:v>0</x:v>
      </x:c>
      <x:c r="AC39" s="286" t="n">
        <x:f>SUM('초등학교+병설유치원(7월)'!AU41:'초등학교+병설유치원(7월)'!AY41)</x:f>
        <x:v>0</x:v>
      </x:c>
      <x:c r="AD39" s="286" t="n">
        <x:f>SUM('초등학교+병설유치원(7월)'!BA41:'초등학교+병설유치원(7월)'!BE41)</x:f>
        <x:v>0</x:v>
      </x:c>
      <x:c r="AE39" s="286" t="n">
        <x:f>SUM('초등학교+병설유치원(7월)'!BG41:'초등학교+병설유치원(7월)'!BK41)</x:f>
        <x:v>0</x:v>
      </x:c>
      <x:c r="AF39" s="286" t="n">
        <x:f>SUM('초등학교+병설유치원(7월)'!BM41:'초등학교+병설유치원(7월)'!BQ41)</x:f>
        <x:v>0</x:v>
      </x:c>
      <x:c r="AG39" s="286" t="n">
        <x:f>SUM('초등학교+병설유치원(7월)'!BS41:'초등학교+병설유치원(7월)'!BW41)</x:f>
        <x:v>0</x:v>
      </x:c>
      <x:c r="AH39" s="286" t="n">
        <x:f>SUM('초등학교+병설유치원(7월)'!BY41:'초등학교+병설유치원(7월)'!CC41)</x:f>
        <x:v>0</x:v>
      </x:c>
      <x:c r="AI39" s="286" t="n">
        <x:f>SUM('초등학교+병설유치원(8월)'!Q41:'초등학교+병설유치원(8월)'!U41)</x:f>
        <x:v>85</x:v>
      </x:c>
      <x:c r="AJ39" s="286" t="n">
        <x:f>SUM('초등학교+병설유치원(8월)'!W41:'초등학교+병설유치원(8월)'!AA41)</x:f>
        <x:v>85</x:v>
      </x:c>
      <x:c r="AK39" s="286" t="n">
        <x:f>SUM('초등학교+병설유치원(8월)'!AC41:'초등학교+병설유치원(8월)'!AG41)</x:f>
        <x:v>85</x:v>
      </x:c>
      <x:c r="AL39" s="286" t="n">
        <x:f>SUM('초등학교+병설유치원(8월)'!AI41:'초등학교+병설유치원(8월)'!AM41)</x:f>
        <x:v>85</x:v>
      </x:c>
      <x:c r="AM39" s="286" t="n">
        <x:f>SUM('초등학교+병설유치원(8월)'!AO41:'초등학교+병설유치원(8월)'!AS41)</x:f>
        <x:v>85</x:v>
      </x:c>
      <x:c r="AN39" s="286" t="n">
        <x:f>SUM('초등학교+병설유치원(8월)'!AU41:'초등학교+병설유치원(8월)'!AY41)</x:f>
        <x:v>85</x:v>
      </x:c>
      <x:c r="AO39" s="286" t="n">
        <x:f>SUM('초등학교+병설유치원(8월)'!BA41:'초등학교+병설유치원(8월)'!BE41)</x:f>
        <x:v>85</x:v>
      </x:c>
      <x:c r="AP39" s="286" t="n">
        <x:f>SUM('초등학교+병설유치원(8월)'!BG41:'초등학교+병설유치원(8월)'!BK41)</x:f>
        <x:v>85</x:v>
      </x:c>
      <x:c r="AQ39" s="286" t="n">
        <x:f>SUM('초등학교+병설유치원(8월)'!BM41:'초등학교+병설유치원(8월)'!BQ41)</x:f>
        <x:v>85</x:v>
      </x:c>
      <x:c r="AR39" s="286" t="n">
        <x:f>SUM('초등학교+병설유치원(8월)'!BS41:'초등학교+병설유치원(8월)'!BW41)</x:f>
        <x:v>85</x:v>
      </x:c>
      <x:c r="AS39" s="286" t="n">
        <x:f>SUM('초등학교+병설유치원(8월)'!BY41:'초등학교+병설유치원(8월)'!CC41)</x:f>
        <x:v>85</x:v>
      </x:c>
      <x:c r="AT39" s="286" t="n">
        <x:f>SUM('초등학교+병설유치원(8월)'!CE41:'초등학교+병설유치원(8월)'!CI41)</x:f>
        <x:v>85</x:v>
      </x:c>
      <x:c r="AU39" s="286" t="n">
        <x:f>SUM('초등학교+병설유치원(8월)'!CK41:'초등학교+병설유치원(8월)'!CO41)</x:f>
        <x:v>85</x:v>
      </x:c>
      <x:c r="AV39" s="286" t="n">
        <x:f>SUM('초등학교+병설유치원(8월)'!CQ41:'초등학교+병설유치원(8월)'!CU41)</x:f>
        <x:v>85</x:v>
      </x:c>
      <x:c r="AW39" s="286" t="n">
        <x:f>SUM('초등학교+병설유치원(8월)'!CW41:'초등학교+병설유치원(8월)'!DA41)</x:f>
        <x:v>85</x:v>
      </x:c>
      <x:c r="AX39" s="286" t="n">
        <x:f>SUM('초등학교+병설유치원(8월)'!DC41:'초등학교+병설유치원(8월)'!DG41)</x:f>
        <x:v>85</x:v>
      </x:c>
      <x:c r="AY39" s="286" t="n">
        <x:f>SUM('초등학교+병설유치원(8월)'!DI41:'초등학교+병설유치원(8월)'!DM41)</x:f>
        <x:v>85</x:v>
      </x:c>
      <x:c r="AZ39" s="286" t="n">
        <x:f>SUM('초등학교+병설유치원(8월)'!DO41:'초등학교+병설유치원(8월)'!DS41)</x:f>
        <x:v>85</x:v>
      </x:c>
      <x:c r="BA39" s="286" t="n">
        <x:f>SUM('초등학교+병설유치원(8월)'!DU41:'초등학교+병설유치원(8월)'!DY41)</x:f>
        <x:v>85</x:v>
      </x:c>
      <x:c r="BB39" s="286" t="n">
        <x:f>SUM('초등학교+병설유치원(8월)'!EA41:'초등학교+병설유치원(8월)'!EE41)</x:f>
        <x:v>85</x:v>
      </x:c>
    </x:row>
    <x:row r="40" ht="44" customHeight="1">
      <x:c r="A40" s="282" t="n">
        <x:f>IF('초등학교+병설유치원(7월)'!A42="","",'초등학교+병설유치원(7월)'!A42)</x:f>
        <x:v>26</x:v>
      </x:c>
      <x:c r="B40" s="282" t="str">
        <x:v>초등학교</x:v>
      </x:c>
      <x:c r="C40" s="282" t="str">
        <x:f>IF('초등학교+병설유치원(7월)'!B42="","",'초등학교+병설유치원(7월)'!B42)</x:f>
        <x:v>이리팔봉초</x:v>
      </x:c>
      <x:c r="D40" s="281" t="str">
        <x:f>IF('초등학교+병설유치원(7월)'!C42="","",'초등학교+병설유치원(7월)'!C42)</x:f>
        <x:v>익산시 무왕로 31길 10</x:v>
      </x:c>
      <x:c r="E40" s="281" t="str">
        <x:f>IF('초등학교+병설유치원(7월)'!D42="","",'초등학교+병설유치원(7월)'!D42)</x:f>
        <x:v>권효선
(070-8656-8312
010-2648-7664)</x:v>
      </x:c>
      <x:c r="F40" s="281" t="str">
        <x:f>IF('초등학교+병설유치원(7월)'!E42="","",'초등학교+병설유치원(7월)'!E42)</x:f>
        <x:v>김태호
(063-835-2944)</x:v>
      </x:c>
      <x:c r="G40" s="284" t="n">
        <x:f>IF('초등학교+병설유치원(7월)'!F42="","",'초등학교+병설유치원(7월)'!F42)</x:f>
        <x:v>32</x:v>
      </x:c>
      <x:c r="H40" s="284" t="n">
        <x:f>IF('초등학교+병설유치원(7월)'!G42="","",'초등학교+병설유치원(7월)'!G42)</x:f>
        <x:v>15</x:v>
      </x:c>
      <x:c r="I40" s="284" t="n">
        <x:f>IF('초등학교+병설유치원(7월)'!H42="","",'초등학교+병설유치원(7월)'!H42)</x:f>
        <x:v>17</x:v>
      </x:c>
      <x:c r="J40" s="284" t="str">
        <x:f>IF('초등학교+병설유치원(7월)'!I42="","",'초등학교+병설유치원(7월)'!I42)</x:f>
      </x:c>
      <x:c r="K40" s="284" t="str">
        <x:f>IF('초등학교+병설유치원(7월)'!J42="","",'초등학교+병설유치원(7월)'!J42)</x:f>
      </x:c>
      <x:c r="L40" s="284" t="str">
        <x:f>IF('초등학교+병설유치원(7월)'!K42="","",'초등학교+병설유치원(7월)'!K42)</x:f>
      </x:c>
      <x:c r="M40" s="285" t="n">
        <x:f>IF('초등학교+병설유치원(7월)'!L42="","",'초등학교+병설유치원(7월)'!L42)</x:f>
        <x:v>0.4861111111111111</x:v>
      </x:c>
      <x:c r="N40" s="281" t="str">
        <x:f>IF('초등학교+병설유치원(7월)'!M42="","",'초등학교+병설유치원(7월)'!M42)</x:f>
        <x:v>7.29.~8.20.
(16일)</x:v>
      </x:c>
      <x:c r="O40" s="281" t="str">
        <x:f>IF('초등학교+병설유치원(7월)'!N42="","",'초등학교+병설유치원(7월)'!N42)</x:f>
      </x:c>
      <x:c r="P40" s="282" t="str">
        <x:f>IF('초등학교+병설유치원(7월)'!O42="","",'초등학교+병설유치원(7월)'!O42)</x:f>
        <x:v>16일</x:v>
      </x:c>
      <x:c r="Q40" s="282" t="str">
        <x:f>IF('초등학교+병설유치원(7월)'!P42="","",'초등학교+병설유치원(7월)'!P42)</x:f>
        <x:v>배식</x:v>
      </x:c>
      <x:c r="R40" s="281" t="str">
        <x:f>IF('초등학교+병설유치원(7월)'!CF42="","",'초등학교+병설유치원(7월)'!CF42)</x:f>
        <x:v>돌봄2반</x:v>
      </x:c>
      <x:c r="S40" s="281" t="str">
        <x:f>IF('초등학교+병설유치원(7월)'!CG42="","",'초등학교+병설유치원(7월)'!CG42)</x:f>
        <x:v>김혜선</x:v>
      </x:c>
      <x:c r="T40" s="281" t="str">
        <x:f>IF('초등학교+병설유치원(7월)'!CH42="","",'초등학교+병설유치원(7월)'!CH42)</x:f>
      </x:c>
      <x:c r="U40" s="288" t="n">
        <x:f>SUM(X40:AH40)</x:f>
        <x:v>96</x:v>
      </x:c>
      <x:c r="V40" s="288" t="n">
        <x:f>SUM(AI40:BB40)</x:f>
        <x:v>416</x:v>
      </x:c>
      <x:c r="W40" s="288" t="n">
        <x:f>U40+V40</x:f>
        <x:v>512</x:v>
      </x:c>
      <x:c r="X40" s="286" t="n">
        <x:f>SUM('초등학교+병설유치원(7월)'!Q42:'초등학교+병설유치원(7월)'!U42)</x:f>
        <x:v>0</x:v>
      </x:c>
      <x:c r="Y40" s="286" t="n">
        <x:f>SUM('초등학교+병설유치원(7월)'!W42:'초등학교+병설유치원(7월)'!AA42)</x:f>
        <x:v>0</x:v>
      </x:c>
      <x:c r="Z40" s="286" t="n">
        <x:f>SUM('초등학교+병설유치원(7월)'!AC42:'초등학교+병설유치원(7월)'!AG42)</x:f>
        <x:v>0</x:v>
      </x:c>
      <x:c r="AA40" s="286" t="n">
        <x:f>SUM('초등학교+병설유치원(7월)'!AI42:'초등학교+병설유치원(7월)'!AM42)</x:f>
        <x:v>0</x:v>
      </x:c>
      <x:c r="AB40" s="286" t="n">
        <x:f>SUM('초등학교+병설유치원(7월)'!AO42:'초등학교+병설유치원(7월)'!AS42)</x:f>
        <x:v>0</x:v>
      </x:c>
      <x:c r="AC40" s="286" t="n">
        <x:f>SUM('초등학교+병설유치원(7월)'!AU42:'초등학교+병설유치원(7월)'!AY42)</x:f>
        <x:v>0</x:v>
      </x:c>
      <x:c r="AD40" s="286" t="n">
        <x:f>SUM('초등학교+병설유치원(7월)'!BA42:'초등학교+병설유치원(7월)'!BE42)</x:f>
        <x:v>0</x:v>
      </x:c>
      <x:c r="AE40" s="286" t="n">
        <x:f>SUM('초등학교+병설유치원(7월)'!BG42:'초등학교+병설유치원(7월)'!BK42)</x:f>
        <x:v>0</x:v>
      </x:c>
      <x:c r="AF40" s="286" t="n">
        <x:f>SUM('초등학교+병설유치원(7월)'!BM42:'초등학교+병설유치원(7월)'!BQ42)</x:f>
        <x:v>32</x:v>
      </x:c>
      <x:c r="AG40" s="286" t="n">
        <x:f>SUM('초등학교+병설유치원(7월)'!BS42:'초등학교+병설유치원(7월)'!BW42)</x:f>
        <x:v>32</x:v>
      </x:c>
      <x:c r="AH40" s="286" t="n">
        <x:f>SUM('초등학교+병설유치원(7월)'!BY42:'초등학교+병설유치원(7월)'!CC42)</x:f>
        <x:v>32</x:v>
      </x:c>
      <x:c r="AI40" s="286" t="n">
        <x:f>SUM('초등학교+병설유치원(8월)'!Q42:'초등학교+병설유치원(8월)'!U42)</x:f>
        <x:v>32</x:v>
      </x:c>
      <x:c r="AJ40" s="286" t="n">
        <x:f>SUM('초등학교+병설유치원(8월)'!W42:'초등학교+병설유치원(8월)'!AA42)</x:f>
        <x:v>32</x:v>
      </x:c>
      <x:c r="AK40" s="286" t="n">
        <x:f>SUM('초등학교+병설유치원(8월)'!AC42:'초등학교+병설유치원(8월)'!AG42)</x:f>
        <x:v>32</x:v>
      </x:c>
      <x:c r="AL40" s="286" t="n">
        <x:f>SUM('초등학교+병설유치원(8월)'!AI42:'초등학교+병설유치원(8월)'!AM42)</x:f>
        <x:v>32</x:v>
      </x:c>
      <x:c r="AM40" s="286" t="n">
        <x:f>SUM('초등학교+병설유치원(8월)'!AO42:'초등학교+병설유치원(8월)'!AS42)</x:f>
        <x:v>32</x:v>
      </x:c>
      <x:c r="AN40" s="286" t="n">
        <x:f>SUM('초등학교+병설유치원(8월)'!AU42:'초등학교+병설유치원(8월)'!AY42)</x:f>
        <x:v>32</x:v>
      </x:c>
      <x:c r="AO40" s="286" t="n">
        <x:f>SUM('초등학교+병설유치원(8월)'!BA42:'초등학교+병설유치원(8월)'!BE42)</x:f>
        <x:v>32</x:v>
      </x:c>
      <x:c r="AP40" s="286" t="n">
        <x:f>SUM('초등학교+병설유치원(8월)'!BG42:'초등학교+병설유치원(8월)'!BK42)</x:f>
        <x:v>32</x:v>
      </x:c>
      <x:c r="AQ40" s="286" t="n">
        <x:f>SUM('초등학교+병설유치원(8월)'!BM42:'초등학교+병설유치원(8월)'!BQ42)</x:f>
        <x:v>32</x:v>
      </x:c>
      <x:c r="AR40" s="286" t="n">
        <x:f>SUM('초등학교+병설유치원(8월)'!BS42:'초등학교+병설유치원(8월)'!BW42)</x:f>
        <x:v>32</x:v>
      </x:c>
      <x:c r="AS40" s="286" t="n">
        <x:f>SUM('초등학교+병설유치원(8월)'!BY42:'초등학교+병설유치원(8월)'!CC42)</x:f>
        <x:v>32</x:v>
      </x:c>
      <x:c r="AT40" s="286" t="n">
        <x:f>SUM('초등학교+병설유치원(8월)'!CE42:'초등학교+병설유치원(8월)'!CI42)</x:f>
        <x:v>32</x:v>
      </x:c>
      <x:c r="AU40" s="286" t="n">
        <x:f>SUM('초등학교+병설유치원(8월)'!CK42:'초등학교+병설유치원(8월)'!CO42)</x:f>
        <x:v>32</x:v>
      </x:c>
      <x:c r="AV40" s="286" t="n">
        <x:f>SUM('초등학교+병설유치원(8월)'!CQ42:'초등학교+병설유치원(8월)'!CU42)</x:f>
        <x:v>0</x:v>
      </x:c>
      <x:c r="AW40" s="286" t="n">
        <x:f>SUM('초등학교+병설유치원(8월)'!CW42:'초등학교+병설유치원(8월)'!DA42)</x:f>
        <x:v>0</x:v>
      </x:c>
      <x:c r="AX40" s="286" t="n">
        <x:f>SUM('초등학교+병설유치원(8월)'!DC42:'초등학교+병설유치원(8월)'!DG42)</x:f>
        <x:v>0</x:v>
      </x:c>
      <x:c r="AY40" s="286" t="n">
        <x:f>SUM('초등학교+병설유치원(8월)'!DI42:'초등학교+병설유치원(8월)'!DM42)</x:f>
        <x:v>0</x:v>
      </x:c>
      <x:c r="AZ40" s="286" t="n">
        <x:f>SUM('초등학교+병설유치원(8월)'!DO42:'초등학교+병설유치원(8월)'!DS42)</x:f>
        <x:v>0</x:v>
      </x:c>
      <x:c r="BA40" s="286" t="n">
        <x:f>SUM('초등학교+병설유치원(8월)'!DU42:'초등학교+병설유치원(8월)'!DY42)</x:f>
        <x:v>0</x:v>
      </x:c>
      <x:c r="BB40" s="286" t="n">
        <x:f>SUM('초등학교+병설유치원(8월)'!EA42:'초등학교+병설유치원(8월)'!EE42)</x:f>
        <x:v>0</x:v>
      </x:c>
    </x:row>
    <x:row r="41" ht="44" customHeight="1">
      <x:c r="A41" s="282" t="n">
        <x:f>IF('초등학교+병설유치원(7월)'!A43="","",'초등학교+병설유치원(7월)'!A43)</x:f>
        <x:v>27</x:v>
      </x:c>
      <x:c r="B41" s="282" t="str">
        <x:v>초등학교</x:v>
      </x:c>
      <x:c r="C41" s="282" t="str">
        <x:f>IF('초등학교+병설유치원(7월)'!B43="","",'초등학교+병설유치원(7월)'!B43)</x:f>
        <x:v>익산가온초</x:v>
      </x:c>
      <x:c r="D41" s="281" t="str">
        <x:f>IF('초등학교+병설유치원(7월)'!C43="","",'초등학교+병설유치원(7월)'!C43)</x:f>
        <x:v>익산시 선화로1길 106</x:v>
      </x:c>
      <x:c r="E41" s="281" t="str">
        <x:f>IF('초등학교+병설유치원(7월)'!D43="","",'초등학교+병설유치원(7월)'!D43)</x:f>
        <x:v>최애경
(063-840-8249
010-6686-2723)</x:v>
      </x:c>
      <x:c r="F41" s="281" t="str">
        <x:f>IF('초등학교+병설유치원(7월)'!E43="","",'초등학교+병설유치원(7월)'!E43)</x:f>
        <x:v>오수영
(063-840-8296
010-7174-3786)</x:v>
      </x:c>
      <x:c r="G41" s="284" t="n">
        <x:f>IF('초등학교+병설유치원(7월)'!F43="","",'초등학교+병설유치원(7월)'!F43)</x:f>
        <x:v>53</x:v>
      </x:c>
      <x:c r="H41" s="284" t="n">
        <x:f>IF('초등학교+병설유치원(7월)'!G43="","",'초등학교+병설유치원(7월)'!G43)</x:f>
        <x:v>19</x:v>
      </x:c>
      <x:c r="I41" s="284" t="n">
        <x:f>IF('초등학교+병설유치원(7월)'!H43="","",'초등학교+병설유치원(7월)'!H43)</x:f>
        <x:v>18</x:v>
      </x:c>
      <x:c r="J41" s="284" t="n">
        <x:f>IF('초등학교+병설유치원(7월)'!I43="","",'초등학교+병설유치원(7월)'!I43)</x:f>
        <x:v>16</x:v>
      </x:c>
      <x:c r="K41" s="284" t="str">
        <x:f>IF('초등학교+병설유치원(7월)'!J43="","",'초등학교+병설유치원(7월)'!J43)</x:f>
      </x:c>
      <x:c r="L41" s="284" t="str">
        <x:f>IF('초등학교+병설유치원(7월)'!K43="","",'초등학교+병설유치원(7월)'!K43)</x:f>
      </x:c>
      <x:c r="M41" s="285" t="n">
        <x:f>IF('초등학교+병설유치원(7월)'!L43="","",'초등학교+병설유치원(7월)'!L43)</x:f>
        <x:v>0.4791666666666667</x:v>
      </x:c>
      <x:c r="N41" s="281" t="str">
        <x:f>IF('초등학교+병설유치원(7월)'!M43="","",'초등학교+병설유치원(7월)'!M43)</x:f>
        <x:v>7.29.~8.14.
(13일)</x:v>
      </x:c>
      <x:c r="O41" s="281" t="str">
        <x:f>IF('초등학교+병설유치원(7월)'!N43="","",'초등학교+병설유치원(7월)'!N43)</x:f>
      </x:c>
      <x:c r="P41" s="282" t="str">
        <x:f>IF('초등학교+병설유치원(7월)'!O43="","",'초등학교+병설유치원(7월)'!O43)</x:f>
        <x:v>13일</x:v>
      </x:c>
      <x:c r="Q41" s="282" t="str">
        <x:f>IF('초등학교+병설유치원(7월)'!P43="","",'초등학교+병설유치원(7월)'!P43)</x:f>
        <x:v>배식</x:v>
      </x:c>
      <x:c r="R41" s="281" t="str">
        <x:f>IF('초등학교+병설유치원(7월)'!CF43="","",'초등학교+병설유치원(7월)'!CF43)</x:f>
        <x:v>돌봄3반</x:v>
      </x:c>
      <x:c r="S41" s="281" t="str">
        <x:f>IF('초등학교+병설유치원(7월)'!CG43="","",'초등학교+병설유치원(7월)'!CG43)</x:f>
        <x:v>백현순</x:v>
      </x:c>
      <x:c r="T41" s="281" t="str">
        <x:f>IF('초등학교+병설유치원(7월)'!CH43="","",'초등학교+병설유치원(7월)'!CH43)</x:f>
      </x:c>
      <x:c r="U41" s="288" t="n">
        <x:f>SUM(X41:AH41)</x:f>
        <x:v>159</x:v>
      </x:c>
      <x:c r="V41" s="288" t="n">
        <x:f>SUM(AI41:BB41)</x:f>
        <x:v>530</x:v>
      </x:c>
      <x:c r="W41" s="288" t="n">
        <x:f>U41+V41</x:f>
        <x:v>689</x:v>
      </x:c>
      <x:c r="X41" s="286" t="n">
        <x:f>SUM('초등학교+병설유치원(7월)'!Q43:'초등학교+병설유치원(7월)'!U43)</x:f>
        <x:v>0</x:v>
      </x:c>
      <x:c r="Y41" s="286" t="n">
        <x:f>SUM('초등학교+병설유치원(7월)'!W43:'초등학교+병설유치원(7월)'!AA43)</x:f>
        <x:v>0</x:v>
      </x:c>
      <x:c r="Z41" s="286" t="n">
        <x:f>SUM('초등학교+병설유치원(7월)'!AC43:'초등학교+병설유치원(7월)'!AG43)</x:f>
        <x:v>0</x:v>
      </x:c>
      <x:c r="AA41" s="286" t="n">
        <x:f>SUM('초등학교+병설유치원(7월)'!AI43:'초등학교+병설유치원(7월)'!AM43)</x:f>
        <x:v>0</x:v>
      </x:c>
      <x:c r="AB41" s="286" t="n">
        <x:f>SUM('초등학교+병설유치원(7월)'!AO43:'초등학교+병설유치원(7월)'!AS43)</x:f>
        <x:v>0</x:v>
      </x:c>
      <x:c r="AC41" s="286" t="n">
        <x:f>SUM('초등학교+병설유치원(7월)'!AU43:'초등학교+병설유치원(7월)'!AY43)</x:f>
        <x:v>0</x:v>
      </x:c>
      <x:c r="AD41" s="286" t="n">
        <x:f>SUM('초등학교+병설유치원(7월)'!BA43:'초등학교+병설유치원(7월)'!BE43)</x:f>
        <x:v>0</x:v>
      </x:c>
      <x:c r="AE41" s="286" t="n">
        <x:f>SUM('초등학교+병설유치원(7월)'!BG43:'초등학교+병설유치원(7월)'!BK43)</x:f>
        <x:v>0</x:v>
      </x:c>
      <x:c r="AF41" s="286" t="n">
        <x:f>SUM('초등학교+병설유치원(7월)'!BM43:'초등학교+병설유치원(7월)'!BQ43)</x:f>
        <x:v>53</x:v>
      </x:c>
      <x:c r="AG41" s="286" t="n">
        <x:f>SUM('초등학교+병설유치원(7월)'!BS43:'초등학교+병설유치원(7월)'!BW43)</x:f>
        <x:v>53</x:v>
      </x:c>
      <x:c r="AH41" s="286" t="n">
        <x:f>SUM('초등학교+병설유치원(7월)'!BY43:'초등학교+병설유치원(7월)'!CC43)</x:f>
        <x:v>53</x:v>
      </x:c>
      <x:c r="AI41" s="286" t="n">
        <x:f>SUM('초등학교+병설유치원(8월)'!Q43:'초등학교+병설유치원(8월)'!U43)</x:f>
        <x:v>53</x:v>
      </x:c>
      <x:c r="AJ41" s="286" t="n">
        <x:f>SUM('초등학교+병설유치원(8월)'!W43:'초등학교+병설유치원(8월)'!AA43)</x:f>
        <x:v>53</x:v>
      </x:c>
      <x:c r="AK41" s="286" t="n">
        <x:f>SUM('초등학교+병설유치원(8월)'!AC43:'초등학교+병설유치원(8월)'!AG43)</x:f>
        <x:v>53</x:v>
      </x:c>
      <x:c r="AL41" s="286" t="n">
        <x:f>SUM('초등학교+병설유치원(8월)'!AI43:'초등학교+병설유치원(8월)'!AM43)</x:f>
        <x:v>53</x:v>
      </x:c>
      <x:c r="AM41" s="286" t="n">
        <x:f>SUM('초등학교+병설유치원(8월)'!AO43:'초등학교+병설유치원(8월)'!AS43)</x:f>
        <x:v>53</x:v>
      </x:c>
      <x:c r="AN41" s="286" t="n">
        <x:f>SUM('초등학교+병설유치원(8월)'!AU43:'초등학교+병설유치원(8월)'!AY43)</x:f>
        <x:v>53</x:v>
      </x:c>
      <x:c r="AO41" s="286" t="n">
        <x:f>SUM('초등학교+병설유치원(8월)'!BA43:'초등학교+병설유치원(8월)'!BE43)</x:f>
        <x:v>53</x:v>
      </x:c>
      <x:c r="AP41" s="286" t="n">
        <x:f>SUM('초등학교+병설유치원(8월)'!BG43:'초등학교+병설유치원(8월)'!BK43)</x:f>
        <x:v>53</x:v>
      </x:c>
      <x:c r="AQ41" s="286" t="n">
        <x:f>SUM('초등학교+병설유치원(8월)'!BM43:'초등학교+병설유치원(8월)'!BQ43)</x:f>
        <x:v>53</x:v>
      </x:c>
      <x:c r="AR41" s="286" t="n">
        <x:f>SUM('초등학교+병설유치원(8월)'!BS43:'초등학교+병설유치원(8월)'!BW43)</x:f>
        <x:v>53</x:v>
      </x:c>
      <x:c r="AS41" s="286" t="n">
        <x:f>SUM('초등학교+병설유치원(8월)'!BY43:'초등학교+병설유치원(8월)'!CC43)</x:f>
        <x:v>0</x:v>
      </x:c>
      <x:c r="AT41" s="286" t="n">
        <x:f>SUM('초등학교+병설유치원(8월)'!CE43:'초등학교+병설유치원(8월)'!CI43)</x:f>
        <x:v>0</x:v>
      </x:c>
      <x:c r="AU41" s="286" t="n">
        <x:f>SUM('초등학교+병설유치원(8월)'!CK43:'초등학교+병설유치원(8월)'!CO43)</x:f>
        <x:v>0</x:v>
      </x:c>
      <x:c r="AV41" s="286" t="n">
        <x:f>SUM('초등학교+병설유치원(8월)'!CQ43:'초등학교+병설유치원(8월)'!CU43)</x:f>
        <x:v>0</x:v>
      </x:c>
      <x:c r="AW41" s="286" t="n">
        <x:f>SUM('초등학교+병설유치원(8월)'!CW43:'초등학교+병설유치원(8월)'!DA43)</x:f>
        <x:v>0</x:v>
      </x:c>
      <x:c r="AX41" s="286" t="n">
        <x:f>SUM('초등학교+병설유치원(8월)'!DC43:'초등학교+병설유치원(8월)'!DG43)</x:f>
        <x:v>0</x:v>
      </x:c>
      <x:c r="AY41" s="286" t="n">
        <x:f>SUM('초등학교+병설유치원(8월)'!DI43:'초등학교+병설유치원(8월)'!DM43)</x:f>
        <x:v>0</x:v>
      </x:c>
      <x:c r="AZ41" s="286" t="n">
        <x:f>SUM('초등학교+병설유치원(8월)'!DO43:'초등학교+병설유치원(8월)'!DS43)</x:f>
        <x:v>0</x:v>
      </x:c>
      <x:c r="BA41" s="286" t="n">
        <x:f>SUM('초등학교+병설유치원(8월)'!DU43:'초등학교+병설유치원(8월)'!DY43)</x:f>
        <x:v>0</x:v>
      </x:c>
      <x:c r="BB41" s="286" t="n">
        <x:f>SUM('초등학교+병설유치원(8월)'!EA43:'초등학교+병설유치원(8월)'!EE43)</x:f>
        <x:v>0</x:v>
      </x:c>
    </x:row>
    <x:row r="42" ht="44" customHeight="1">
      <x:c r="A42" s="282" t="str">
        <x:f>IF('초등학교+병설유치원(7월)'!A44="","",'초등학교+병설유치원(7월)'!A44)</x:f>
        <x:v>27-1</x:v>
      </x:c>
      <x:c r="B42" s="282" t="str">
        <x:v>병설유치원</x:v>
      </x:c>
      <x:c r="C42" s="282" t="str">
        <x:f>IF('초등학교+병설유치원(7월)'!B44="","",'초등학교+병설유치원(7월)'!B44)</x:f>
        <x:v>익산가온초 병설유치원</x:v>
      </x:c>
      <x:c r="D42" s="281" t="str">
        <x:f>IF('초등학교+병설유치원(7월)'!C44="","",'초등학교+병설유치원(7월)'!C44)</x:f>
        <x:v>익산시 선화로1길 106</x:v>
      </x:c>
      <x:c r="E42" s="281" t="str">
        <x:f>IF('초등학교+병설유치원(7월)'!D44="","",'초등학교+병설유치원(7월)'!D44)</x:f>
        <x:v>010-6662-5880</x:v>
      </x:c>
      <x:c r="F42" s="281" t="str">
        <x:f>IF('초등학교+병설유치원(7월)'!E44="","",'초등학교+병설유치원(7월)'!E44)</x:f>
        <x:v>홍화윤
(010-7132-4290)</x:v>
      </x:c>
      <x:c r="G42" s="284" t="n">
        <x:f>IF('초등학교+병설유치원(7월)'!F44="","",'초등학교+병설유치원(7월)'!F44)</x:f>
        <x:v>9</x:v>
      </x:c>
      <x:c r="H42" s="284" t="n">
        <x:f>IF('초등학교+병설유치원(7월)'!G44="","",'초등학교+병설유치원(7월)'!G44)</x:f>
        <x:v>9</x:v>
      </x:c>
      <x:c r="I42" s="284" t="str">
        <x:f>IF('초등학교+병설유치원(7월)'!H44="","",'초등학교+병설유치원(7월)'!H44)</x:f>
      </x:c>
      <x:c r="J42" s="284" t="str">
        <x:f>IF('초등학교+병설유치원(7월)'!I44="","",'초등학교+병설유치원(7월)'!I44)</x:f>
      </x:c>
      <x:c r="K42" s="284" t="str">
        <x:f>IF('초등학교+병설유치원(7월)'!J44="","",'초등학교+병설유치원(7월)'!J44)</x:f>
      </x:c>
      <x:c r="L42" s="284" t="str">
        <x:f>IF('초등학교+병설유치원(7월)'!K44="","",'초등학교+병설유치원(7월)'!K44)</x:f>
      </x:c>
      <x:c r="M42" s="285" t="n">
        <x:f>IF('초등학교+병설유치원(7월)'!L44="","",'초등학교+병설유치원(7월)'!L44)</x:f>
        <x:v>0.5</x:v>
      </x:c>
      <x:c r="N42" s="281" t="str">
        <x:f>IF('초등학교+병설유치원(7월)'!M44="","",'초등학교+병설유치원(7월)'!M44)</x:f>
        <x:v>8.4.~19.(11일)</x:v>
      </x:c>
      <x:c r="O42" s="281" t="str">
        <x:f>IF('초등학교+병설유치원(7월)'!N44="","",'초등학교+병설유치원(7월)'!N44)</x:f>
      </x:c>
      <x:c r="P42" s="282" t="str">
        <x:f>IF('초등학교+병설유치원(7월)'!O44="","",'초등학교+병설유치원(7월)'!O44)</x:f>
        <x:v>11일</x:v>
      </x:c>
      <x:c r="Q42" s="282" t="str">
        <x:f>IF('초등학교+병설유치원(7월)'!P44="","",'초등학교+병설유치원(7월)'!P44)</x:f>
        <x:v>도시락</x:v>
      </x:c>
      <x:c r="R42" s="281" t="str">
        <x:f>IF('초등학교+병설유치원(7월)'!CF44="","",'초등학교+병설유치원(7월)'!CF44)</x:f>
        <x:v>초등 돌봄교실</x:v>
      </x:c>
      <x:c r="S42" s="281" t="str">
        <x:f>IF('초등학교+병설유치원(7월)'!CG44="","",'초등학교+병설유치원(7월)'!CG44)</x:f>
        <x:v>백현순</x:v>
      </x:c>
      <x:c r="T42" s="281" t="str">
        <x:f>IF('초등학교+병설유치원(7월)'!CH44="","",'초등학교+병설유치원(7월)'!CH44)</x:f>
      </x:c>
      <x:c r="U42" s="288" t="n">
        <x:f>SUM(X42:AH42)</x:f>
        <x:v>0</x:v>
      </x:c>
      <x:c r="V42" s="288" t="n">
        <x:f>SUM(AI42:BB42)</x:f>
        <x:v>101</x:v>
      </x:c>
      <x:c r="W42" s="288" t="n">
        <x:f>U42+V42</x:f>
        <x:v>101</x:v>
      </x:c>
      <x:c r="X42" s="286" t="n">
        <x:f>SUM('초등학교+병설유치원(7월)'!Q44:'초등학교+병설유치원(7월)'!U44)</x:f>
        <x:v>0</x:v>
      </x:c>
      <x:c r="Y42" s="286" t="n">
        <x:f>SUM('초등학교+병설유치원(7월)'!W44:'초등학교+병설유치원(7월)'!AA44)</x:f>
        <x:v>0</x:v>
      </x:c>
      <x:c r="Z42" s="286" t="n">
        <x:f>SUM('초등학교+병설유치원(7월)'!AC44:'초등학교+병설유치원(7월)'!AG44)</x:f>
        <x:v>0</x:v>
      </x:c>
      <x:c r="AA42" s="286" t="n">
        <x:f>SUM('초등학교+병설유치원(7월)'!AI44:'초등학교+병설유치원(7월)'!AM44)</x:f>
        <x:v>0</x:v>
      </x:c>
      <x:c r="AB42" s="286" t="n">
        <x:f>SUM('초등학교+병설유치원(7월)'!AO44:'초등학교+병설유치원(7월)'!AS44)</x:f>
        <x:v>0</x:v>
      </x:c>
      <x:c r="AC42" s="286" t="n">
        <x:f>SUM('초등학교+병설유치원(7월)'!AU44:'초등학교+병설유치원(7월)'!AY44)</x:f>
        <x:v>0</x:v>
      </x:c>
      <x:c r="AD42" s="286" t="n">
        <x:f>SUM('초등학교+병설유치원(7월)'!BA44:'초등학교+병설유치원(7월)'!BE44)</x:f>
        <x:v>0</x:v>
      </x:c>
      <x:c r="AE42" s="286" t="n">
        <x:f>SUM('초등학교+병설유치원(7월)'!BG44:'초등학교+병설유치원(7월)'!BK44)</x:f>
        <x:v>0</x:v>
      </x:c>
      <x:c r="AF42" s="286" t="n">
        <x:f>SUM('초등학교+병설유치원(7월)'!BM44:'초등학교+병설유치원(7월)'!BQ44)</x:f>
        <x:v>0</x:v>
      </x:c>
      <x:c r="AG42" s="286" t="n">
        <x:f>SUM('초등학교+병설유치원(7월)'!BS44:'초등학교+병설유치원(7월)'!BW44)</x:f>
        <x:v>0</x:v>
      </x:c>
      <x:c r="AH42" s="286" t="n">
        <x:f>SUM('초등학교+병설유치원(7월)'!BY44:'초등학교+병설유치원(7월)'!CC44)</x:f>
        <x:v>0</x:v>
      </x:c>
      <x:c r="AI42" s="286" t="n">
        <x:f>SUM('초등학교+병설유치원(8월)'!Q44:'초등학교+병설유치원(8월)'!U44)</x:f>
        <x:v>0</x:v>
      </x:c>
      <x:c r="AJ42" s="286" t="n">
        <x:f>SUM('초등학교+병설유치원(8월)'!W44:'초등학교+병설유치원(8월)'!AA44)</x:f>
        <x:v>9</x:v>
      </x:c>
      <x:c r="AK42" s="286" t="n">
        <x:f>SUM('초등학교+병설유치원(8월)'!AC44:'초등학교+병설유치원(8월)'!AG44)</x:f>
        <x:v>9</x:v>
      </x:c>
      <x:c r="AL42" s="286" t="n">
        <x:f>SUM('초등학교+병설유치원(8월)'!AI44:'초등학교+병설유치원(8월)'!AM44)</x:f>
        <x:v>9</x:v>
      </x:c>
      <x:c r="AM42" s="286" t="n">
        <x:f>SUM('초등학교+병설유치원(8월)'!AO44:'초등학교+병설유치원(8월)'!AS44)</x:f>
        <x:v>9</x:v>
      </x:c>
      <x:c r="AN42" s="286" t="n">
        <x:f>SUM('초등학교+병설유치원(8월)'!AU44:'초등학교+병설유치원(8월)'!AY44)</x:f>
        <x:v>9</x:v>
      </x:c>
      <x:c r="AO42" s="286" t="n">
        <x:f>SUM('초등학교+병설유치원(8월)'!BA44:'초등학교+병설유치원(8월)'!BE44)</x:f>
        <x:v>9</x:v>
      </x:c>
      <x:c r="AP42" s="286" t="n">
        <x:f>SUM('초등학교+병설유치원(8월)'!BG44:'초등학교+병설유치원(8월)'!BK44)</x:f>
        <x:v>9</x:v>
      </x:c>
      <x:c r="AQ42" s="286" t="n">
        <x:f>SUM('초등학교+병설유치원(8월)'!BM44:'초등학교+병설유치원(8월)'!BQ44)</x:f>
        <x:v>9</x:v>
      </x:c>
      <x:c r="AR42" s="286" t="n">
        <x:f>SUM('초등학교+병설유치원(8월)'!BS44:'초등학교+병설유치원(8월)'!BW44)</x:f>
        <x:v>9</x:v>
      </x:c>
      <x:c r="AS42" s="286" t="n">
        <x:f>SUM('초등학교+병설유치원(8월)'!BY44:'초등학교+병설유치원(8월)'!CC44)</x:f>
        <x:v>10</x:v>
      </x:c>
      <x:c r="AT42" s="286" t="n">
        <x:f>SUM('초등학교+병설유치원(8월)'!CE44:'초등학교+병설유치원(8월)'!CI44)</x:f>
        <x:v>10</x:v>
      </x:c>
      <x:c r="AU42" s="286" t="n">
        <x:f>SUM('초등학교+병설유치원(8월)'!CK44:'초등학교+병설유치원(8월)'!CO44)</x:f>
        <x:v>0</x:v>
      </x:c>
      <x:c r="AV42" s="286" t="n">
        <x:f>SUM('초등학교+병설유치원(8월)'!CQ44:'초등학교+병설유치원(8월)'!CU44)</x:f>
        <x:v>0</x:v>
      </x:c>
      <x:c r="AW42" s="286" t="n">
        <x:f>SUM('초등학교+병설유치원(8월)'!CW44:'초등학교+병설유치원(8월)'!DA44)</x:f>
        <x:v>0</x:v>
      </x:c>
      <x:c r="AX42" s="286" t="n">
        <x:f>SUM('초등학교+병설유치원(8월)'!DC44:'초등학교+병설유치원(8월)'!DG44)</x:f>
        <x:v>0</x:v>
      </x:c>
      <x:c r="AY42" s="286" t="n">
        <x:f>SUM('초등학교+병설유치원(8월)'!DI44:'초등학교+병설유치원(8월)'!DM44)</x:f>
        <x:v>0</x:v>
      </x:c>
      <x:c r="AZ42" s="286" t="n">
        <x:f>SUM('초등학교+병설유치원(8월)'!DO44:'초등학교+병설유치원(8월)'!DS44)</x:f>
        <x:v>0</x:v>
      </x:c>
      <x:c r="BA42" s="286" t="n">
        <x:f>SUM('초등학교+병설유치원(8월)'!DU44:'초등학교+병설유치원(8월)'!DY44)</x:f>
        <x:v>0</x:v>
      </x:c>
      <x:c r="BB42" s="286" t="n">
        <x:f>SUM('초등학교+병설유치원(8월)'!EA44:'초등학교+병설유치원(8월)'!EE44)</x:f>
        <x:v>0</x:v>
      </x:c>
    </x:row>
    <x:row r="43" ht="44" customHeight="1">
      <x:c r="A43" s="282" t="n">
        <x:f>IF('초등학교+병설유치원(7월)'!A45="","",'초등학교+병설유치원(7월)'!A45)</x:f>
        <x:v>28</x:v>
      </x:c>
      <x:c r="B43" s="282" t="str">
        <x:v>초등학교</x:v>
      </x:c>
      <x:c r="C43" s="282" t="str">
        <x:f>IF('초등학교+병설유치원(7월)'!B45="","",'초등학교+병설유치원(7월)'!B45)</x:f>
        <x:v>익산궁동초</x:v>
      </x:c>
      <x:c r="D43" s="281" t="str">
        <x:f>IF('초등학교+병설유치원(7월)'!C45="","",'초등학교+병설유치원(7월)'!C45)</x:f>
        <x:v>익산시 무왕로25길 26</x:v>
      </x:c>
      <x:c r="E43" s="281" t="str">
        <x:f>IF('초등학교+병설유치원(7월)'!D45="","",'초등학교+병설유치원(7월)'!D45)</x:f>
        <x:v>오영준
(063-836-4576
010-9855-7148)</x:v>
      </x:c>
      <x:c r="F43" s="281" t="str">
        <x:f>IF('초등학교+병설유치원(7월)'!E45="","",'초등학교+병설유치원(7월)'!E45)</x:f>
        <x:v>김진옥
(063-836-4579
010-8821-7896)</x:v>
      </x:c>
      <x:c r="G43" s="284" t="n">
        <x:f>IF('초등학교+병설유치원(7월)'!F45="","",'초등학교+병설유치원(7월)'!F45)</x:f>
        <x:v>52</x:v>
      </x:c>
      <x:c r="H43" s="284" t="n">
        <x:f>IF('초등학교+병설유치원(7월)'!G45="","",'초등학교+병설유치원(7월)'!G45)</x:f>
        <x:v>20</x:v>
      </x:c>
      <x:c r="I43" s="284" t="n">
        <x:f>IF('초등학교+병설유치원(7월)'!H45="","",'초등학교+병설유치원(7월)'!H45)</x:f>
        <x:v>21</x:v>
      </x:c>
      <x:c r="J43" s="284" t="str">
        <x:f>IF('초등학교+병설유치원(7월)'!I45="","",'초등학교+병설유치원(7월)'!I45)</x:f>
      </x:c>
      <x:c r="K43" s="284" t="str">
        <x:f>IF('초등학교+병설유치원(7월)'!J45="","",'초등학교+병설유치원(7월)'!J45)</x:f>
      </x:c>
      <x:c r="L43" s="284" t="n">
        <x:f>IF('초등학교+병설유치원(7월)'!K45="","",'초등학교+병설유치원(7월)'!K45)</x:f>
        <x:v>11</x:v>
      </x:c>
      <x:c r="M43" s="285" t="n">
        <x:f>IF('초등학교+병설유치원(7월)'!L45="","",'초등학교+병설유치원(7월)'!L45)</x:f>
        <x:v>0.5069444444444444</x:v>
      </x:c>
      <x:c r="N43" s="281" t="str">
        <x:f>IF('초등학교+병설유치원(7월)'!M45="","",'초등학교+병설유치원(7월)'!M45)</x:f>
        <x:v>7.28.~8.24.
(16일)</x:v>
      </x:c>
      <x:c r="O43" s="281" t="str">
        <x:f>IF('초등학교+병설유치원(7월)'!N45="","",'초등학교+병설유치원(7월)'!N45)</x:f>
        <x:v>7.29.~7.31.</x:v>
      </x:c>
      <x:c r="P43" s="282" t="str">
        <x:f>IF('초등학교+병설유치원(7월)'!O45="","",'초등학교+병설유치원(7월)'!O45)</x:f>
        <x:v>16일</x:v>
      </x:c>
      <x:c r="Q43" s="282" t="str">
        <x:f>IF('초등학교+병설유치원(7월)'!P45="","",'초등학교+병설유치원(7월)'!P45)</x:f>
        <x:v>배식</x:v>
      </x:c>
      <x:c r="R43" s="281" t="str">
        <x:f>IF('초등학교+병설유치원(7월)'!CF45="","",'초등학교+병설유치원(7월)'!CF45)</x:f>
        <x:v>돌봄1반</x:v>
      </x:c>
      <x:c r="S43" s="281" t="str">
        <x:f>IF('초등학교+병설유치원(7월)'!CG45="","",'초등학교+병설유치원(7월)'!CG45)</x:f>
        <x:v>오영준</x:v>
      </x:c>
      <x:c r="T43" s="281" t="str">
        <x:f>IF('초등학교+병설유치원(7월)'!CH45="","",'초등학교+병설유치원(7월)'!CH45)</x:f>
      </x:c>
      <x:c r="U43" s="288" t="n">
        <x:f>SUM(X43:AH43)</x:f>
        <x:v>52</x:v>
      </x:c>
      <x:c r="V43" s="288" t="n">
        <x:f>SUM(AI43:BB43)</x:f>
        <x:v>780</x:v>
      </x:c>
      <x:c r="W43" s="288" t="n">
        <x:f>U43+V43</x:f>
        <x:v>832</x:v>
      </x:c>
      <x:c r="X43" s="286" t="n">
        <x:f>SUM('초등학교+병설유치원(7월)'!Q45:'초등학교+병설유치원(7월)'!U45)</x:f>
        <x:v>0</x:v>
      </x:c>
      <x:c r="Y43" s="286" t="n">
        <x:f>SUM('초등학교+병설유치원(7월)'!W45:'초등학교+병설유치원(7월)'!AA45)</x:f>
        <x:v>0</x:v>
      </x:c>
      <x:c r="Z43" s="286" t="n">
        <x:f>SUM('초등학교+병설유치원(7월)'!AC45:'초등학교+병설유치원(7월)'!AG45)</x:f>
        <x:v>0</x:v>
      </x:c>
      <x:c r="AA43" s="286" t="n">
        <x:f>SUM('초등학교+병설유치원(7월)'!AI45:'초등학교+병설유치원(7월)'!AM45)</x:f>
        <x:v>0</x:v>
      </x:c>
      <x:c r="AB43" s="286" t="n">
        <x:f>SUM('초등학교+병설유치원(7월)'!AO45:'초등학교+병설유치원(7월)'!AS45)</x:f>
        <x:v>0</x:v>
      </x:c>
      <x:c r="AC43" s="286" t="n">
        <x:f>SUM('초등학교+병설유치원(7월)'!AU45:'초등학교+병설유치원(7월)'!AY45)</x:f>
        <x:v>0</x:v>
      </x:c>
      <x:c r="AD43" s="286" t="n">
        <x:f>SUM('초등학교+병설유치원(7월)'!BA45:'초등학교+병설유치원(7월)'!BE45)</x:f>
        <x:v>0</x:v>
      </x:c>
      <x:c r="AE43" s="286" t="n">
        <x:f>SUM('초등학교+병설유치원(7월)'!BG45:'초등학교+병설유치원(7월)'!BK45)</x:f>
        <x:v>52</x:v>
      </x:c>
      <x:c r="AF43" s="286" t="n">
        <x:f>SUM('초등학교+병설유치원(7월)'!BM45:'초등학교+병설유치원(7월)'!BQ45)</x:f>
        <x:v>0</x:v>
      </x:c>
      <x:c r="AG43" s="286" t="n">
        <x:f>SUM('초등학교+병설유치원(7월)'!BS45:'초등학교+병설유치원(7월)'!BW45)</x:f>
        <x:v>0</x:v>
      </x:c>
      <x:c r="AH43" s="286" t="n">
        <x:f>SUM('초등학교+병설유치원(7월)'!BY45:'초등학교+병설유치원(7월)'!CC45)</x:f>
        <x:v>0</x:v>
      </x:c>
      <x:c r="AI43" s="286" t="n">
        <x:f>SUM('초등학교+병설유치원(8월)'!Q45:'초등학교+병설유치원(8월)'!U45)</x:f>
        <x:v>52</x:v>
      </x:c>
      <x:c r="AJ43" s="286" t="n">
        <x:f>SUM('초등학교+병설유치원(8월)'!W45:'초등학교+병설유치원(8월)'!AA45)</x:f>
        <x:v>52</x:v>
      </x:c>
      <x:c r="AK43" s="286" t="n">
        <x:f>SUM('초등학교+병설유치원(8월)'!AC45:'초등학교+병설유치원(8월)'!AG45)</x:f>
        <x:v>52</x:v>
      </x:c>
      <x:c r="AL43" s="286" t="n">
        <x:f>SUM('초등학교+병설유치원(8월)'!AI45:'초등학교+병설유치원(8월)'!AM45)</x:f>
        <x:v>52</x:v>
      </x:c>
      <x:c r="AM43" s="286" t="n">
        <x:f>SUM('초등학교+병설유치원(8월)'!AO45:'초등학교+병설유치원(8월)'!AS45)</x:f>
        <x:v>52</x:v>
      </x:c>
      <x:c r="AN43" s="286" t="n">
        <x:f>SUM('초등학교+병설유치원(8월)'!AU45:'초등학교+병설유치원(8월)'!AY45)</x:f>
        <x:v>52</x:v>
      </x:c>
      <x:c r="AO43" s="286" t="n">
        <x:f>SUM('초등학교+병설유치원(8월)'!BA45:'초등학교+병설유치원(8월)'!BE45)</x:f>
        <x:v>52</x:v>
      </x:c>
      <x:c r="AP43" s="286" t="n">
        <x:f>SUM('초등학교+병설유치원(8월)'!BG45:'초등학교+병설유치원(8월)'!BK45)</x:f>
        <x:v>52</x:v>
      </x:c>
      <x:c r="AQ43" s="286" t="n">
        <x:f>SUM('초등학교+병설유치원(8월)'!BM45:'초등학교+병설유치원(8월)'!BQ45)</x:f>
        <x:v>52</x:v>
      </x:c>
      <x:c r="AR43" s="286" t="n">
        <x:f>SUM('초등학교+병설유치원(8월)'!BS45:'초등학교+병설유치원(8월)'!BW45)</x:f>
        <x:v>52</x:v>
      </x:c>
      <x:c r="AS43" s="286" t="n">
        <x:f>SUM('초등학교+병설유치원(8월)'!BY45:'초등학교+병설유치원(8월)'!CC45)</x:f>
        <x:v>52</x:v>
      </x:c>
      <x:c r="AT43" s="286" t="n">
        <x:f>SUM('초등학교+병설유치원(8월)'!CE45:'초등학교+병설유치원(8월)'!CI45)</x:f>
        <x:v>52</x:v>
      </x:c>
      <x:c r="AU43" s="286" t="n">
        <x:f>SUM('초등학교+병설유치원(8월)'!CK45:'초등학교+병설유치원(8월)'!CO45)</x:f>
        <x:v>52</x:v>
      </x:c>
      <x:c r="AV43" s="286" t="n">
        <x:f>SUM('초등학교+병설유치원(8월)'!CQ45:'초등학교+병설유치원(8월)'!CU45)</x:f>
        <x:v>52</x:v>
      </x:c>
      <x:c r="AW43" s="286" t="n">
        <x:f>SUM('초등학교+병설유치원(8월)'!CW45:'초등학교+병설유치원(8월)'!DA45)</x:f>
        <x:v>52</x:v>
      </x:c>
      <x:c r="AX43" s="286" t="n">
        <x:f>SUM('초등학교+병설유치원(8월)'!DC45:'초등학교+병설유치원(8월)'!DG45)</x:f>
        <x:v>0</x:v>
      </x:c>
      <x:c r="AY43" s="286" t="n">
        <x:f>SUM('초등학교+병설유치원(8월)'!DI45:'초등학교+병설유치원(8월)'!DM45)</x:f>
        <x:v>0</x:v>
      </x:c>
      <x:c r="AZ43" s="286" t="n">
        <x:f>SUM('초등학교+병설유치원(8월)'!DO45:'초등학교+병설유치원(8월)'!DS45)</x:f>
        <x:v>0</x:v>
      </x:c>
      <x:c r="BA43" s="286" t="n">
        <x:f>SUM('초등학교+병설유치원(8월)'!DU45:'초등학교+병설유치원(8월)'!DY45)</x:f>
        <x:v>0</x:v>
      </x:c>
      <x:c r="BB43" s="286" t="n">
        <x:f>SUM('초등학교+병설유치원(8월)'!EA45:'초등학교+병설유치원(8월)'!EE45)</x:f>
        <x:v>0</x:v>
      </x:c>
    </x:row>
    <x:row r="44" ht="44" customHeight="1">
      <x:c r="A44" s="282" t="n">
        <x:f>IF('초등학교+병설유치원(7월)'!A46="","",'초등학교+병설유치원(7월)'!A46)</x:f>
        <x:v>29</x:v>
      </x:c>
      <x:c r="B44" s="282" t="str">
        <x:v>초등학교</x:v>
      </x:c>
      <x:c r="C44" s="282" t="str">
        <x:f>IF('초등학교+병설유치원(7월)'!B46="","",'초등학교+병설유치원(7월)'!B46)</x:f>
        <x:v>익산어양초</x:v>
      </x:c>
      <x:c r="D44" s="281" t="str">
        <x:f>IF('초등학교+병설유치원(7월)'!C46="","",'초등학교+병설유치원(7월)'!C46)</x:f>
        <x:v>익산시 하나로 10길 23</x:v>
      </x:c>
      <x:c r="E44" s="281" t="str">
        <x:f>IF('초등학교+병설유치원(7월)'!D46="","",'초등학교+병설유치원(7월)'!D46)</x:f>
        <x:v>이은실
(070-8852-5248
010-7305-9434)</x:v>
      </x:c>
      <x:c r="F44" s="281" t="str">
        <x:f>IF('초등학교+병설유치원(7월)'!E46="","",'초등학교+병설유치원(7월)'!E46)</x:f>
        <x:v>이은실
(070-8852-5248
010-7305-9434)</x:v>
      </x:c>
      <x:c r="G44" s="284" t="n">
        <x:f>IF('초등학교+병설유치원(7월)'!F46="","",'초등학교+병설유치원(7월)'!F46)</x:f>
        <x:v>45</x:v>
      </x:c>
      <x:c r="H44" s="284" t="n">
        <x:f>IF('초등학교+병설유치원(7월)'!G46="","",'초등학교+병설유치원(7월)'!G46)</x:f>
        <x:v>23</x:v>
      </x:c>
      <x:c r="I44" s="284" t="n">
        <x:f>IF('초등학교+병설유치원(7월)'!H46="","",'초등학교+병설유치원(7월)'!H46)</x:f>
        <x:v>22</x:v>
      </x:c>
      <x:c r="J44" s="284" t="str">
        <x:f>IF('초등학교+병설유치원(7월)'!I46="","",'초등학교+병설유치원(7월)'!I46)</x:f>
      </x:c>
      <x:c r="K44" s="284" t="str">
        <x:f>IF('초등학교+병설유치원(7월)'!J46="","",'초등학교+병설유치원(7월)'!J46)</x:f>
      </x:c>
      <x:c r="L44" s="284" t="str">
        <x:f>IF('초등학교+병설유치원(7월)'!K46="","",'초등학교+병설유치원(7월)'!K46)</x:f>
      </x:c>
      <x:c r="M44" s="285" t="n">
        <x:f>IF('초등학교+병설유치원(7월)'!L46="","",'초등학교+병설유치원(7월)'!L46)</x:f>
        <x:v>0.4861111111111111</x:v>
      </x:c>
      <x:c r="N44" s="281" t="str">
        <x:f>IF('초등학교+병설유치원(7월)'!M46="","",'초등학교+병설유치원(7월)'!M46)</x:f>
        <x:v>7.27.~8.13.
(14일)</x:v>
      </x:c>
      <x:c r="O44" s="281" t="str">
        <x:f>IF('초등학교+병설유치원(7월)'!N46="","",'초등학교+병설유치원(7월)'!N46)</x:f>
      </x:c>
      <x:c r="P44" s="282" t="str">
        <x:f>IF('초등학교+병설유치원(7월)'!O46="","",'초등학교+병설유치원(7월)'!O46)</x:f>
        <x:v>14일</x:v>
      </x:c>
      <x:c r="Q44" s="282" t="str">
        <x:f>IF('초등학교+병설유치원(7월)'!P46="","",'초등학교+병설유치원(7월)'!P46)</x:f>
        <x:v>배식</x:v>
      </x:c>
      <x:c r="R44" s="281" t="str">
        <x:f>IF('초등학교+병설유치원(7월)'!CF46="","",'초등학교+병설유치원(7월)'!CF46)</x:f>
        <x:v>돌봄1반</x:v>
      </x:c>
      <x:c r="S44" s="281" t="str">
        <x:f>IF('초등학교+병설유치원(7월)'!CG46="","",'초등학교+병설유치원(7월)'!CG46)</x:f>
        <x:v>이은실</x:v>
      </x:c>
      <x:c r="T44" s="281" t="str">
        <x:f>IF('초등학교+병설유치원(7월)'!CH46="","",'초등학교+병설유치원(7월)'!CH46)</x:f>
      </x:c>
      <x:c r="U44" s="288" t="n">
        <x:f>SUM(X44:AH44)</x:f>
        <x:v>225</x:v>
      </x:c>
      <x:c r="V44" s="288" t="n">
        <x:f>SUM(AI44:BB44)</x:f>
        <x:v>405</x:v>
      </x:c>
      <x:c r="W44" s="288" t="n">
        <x:f>U44+V44</x:f>
        <x:v>630</x:v>
      </x:c>
      <x:c r="X44" s="286" t="n">
        <x:f>SUM('초등학교+병설유치원(7월)'!Q46:'초등학교+병설유치원(7월)'!U46)</x:f>
        <x:v>0</x:v>
      </x:c>
      <x:c r="Y44" s="286" t="n">
        <x:f>SUM('초등학교+병설유치원(7월)'!W46:'초등학교+병설유치원(7월)'!AA46)</x:f>
        <x:v>0</x:v>
      </x:c>
      <x:c r="Z44" s="286" t="n">
        <x:f>SUM('초등학교+병설유치원(7월)'!AC46:'초등학교+병설유치원(7월)'!AG46)</x:f>
        <x:v>0</x:v>
      </x:c>
      <x:c r="AA44" s="286" t="n">
        <x:f>SUM('초등학교+병설유치원(7월)'!AI46:'초등학교+병설유치원(7월)'!AM46)</x:f>
        <x:v>0</x:v>
      </x:c>
      <x:c r="AB44" s="286" t="n">
        <x:f>SUM('초등학교+병설유치원(7월)'!AO46:'초등학교+병설유치원(7월)'!AS46)</x:f>
        <x:v>0</x:v>
      </x:c>
      <x:c r="AC44" s="286" t="n">
        <x:f>SUM('초등학교+병설유치원(7월)'!AU46:'초등학교+병설유치원(7월)'!AY46)</x:f>
        <x:v>0</x:v>
      </x:c>
      <x:c r="AD44" s="286" t="n">
        <x:f>SUM('초등학교+병설유치원(7월)'!BA46:'초등학교+병설유치원(7월)'!BE46)</x:f>
        <x:v>45</x:v>
      </x:c>
      <x:c r="AE44" s="286" t="n">
        <x:f>SUM('초등학교+병설유치원(7월)'!BG46:'초등학교+병설유치원(7월)'!BK46)</x:f>
        <x:v>45</x:v>
      </x:c>
      <x:c r="AF44" s="286" t="n">
        <x:f>SUM('초등학교+병설유치원(7월)'!BM46:'초등학교+병설유치원(7월)'!BQ46)</x:f>
        <x:v>45</x:v>
      </x:c>
      <x:c r="AG44" s="286" t="n">
        <x:f>SUM('초등학교+병설유치원(7월)'!BS46:'초등학교+병설유치원(7월)'!BW46)</x:f>
        <x:v>45</x:v>
      </x:c>
      <x:c r="AH44" s="286" t="n">
        <x:f>SUM('초등학교+병설유치원(7월)'!BY46:'초등학교+병설유치원(7월)'!CC46)</x:f>
        <x:v>45</x:v>
      </x:c>
      <x:c r="AI44" s="286" t="n">
        <x:f>SUM('초등학교+병설유치원(8월)'!Q46:'초등학교+병설유치원(8월)'!U46)</x:f>
        <x:v>45</x:v>
      </x:c>
      <x:c r="AJ44" s="286" t="n">
        <x:f>SUM('초등학교+병설유치원(8월)'!W46:'초등학교+병설유치원(8월)'!AA46)</x:f>
        <x:v>45</x:v>
      </x:c>
      <x:c r="AK44" s="286" t="n">
        <x:f>SUM('초등학교+병설유치원(8월)'!AC46:'초등학교+병설유치원(8월)'!AG46)</x:f>
        <x:v>45</x:v>
      </x:c>
      <x:c r="AL44" s="286" t="n">
        <x:f>SUM('초등학교+병설유치원(8월)'!AI46:'초등학교+병설유치원(8월)'!AM46)</x:f>
        <x:v>45</x:v>
      </x:c>
      <x:c r="AM44" s="286" t="n">
        <x:f>SUM('초등학교+병설유치원(8월)'!AO46:'초등학교+병설유치원(8월)'!AS46)</x:f>
        <x:v>45</x:v>
      </x:c>
      <x:c r="AN44" s="286" t="n">
        <x:f>SUM('초등학교+병설유치원(8월)'!AU46:'초등학교+병설유치원(8월)'!AY46)</x:f>
        <x:v>45</x:v>
      </x:c>
      <x:c r="AO44" s="286" t="n">
        <x:f>SUM('초등학교+병설유치원(8월)'!BA46:'초등학교+병설유치원(8월)'!BE46)</x:f>
        <x:v>45</x:v>
      </x:c>
      <x:c r="AP44" s="286" t="n">
        <x:f>SUM('초등학교+병설유치원(8월)'!BG46:'초등학교+병설유치원(8월)'!BK46)</x:f>
        <x:v>45</x:v>
      </x:c>
      <x:c r="AQ44" s="286" t="n">
        <x:f>SUM('초등학교+병설유치원(8월)'!BM46:'초등학교+병설유치원(8월)'!BQ46)</x:f>
        <x:v>45</x:v>
      </x:c>
      <x:c r="AR44" s="286" t="n">
        <x:f>SUM('초등학교+병설유치원(8월)'!BS46:'초등학교+병설유치원(8월)'!BW46)</x:f>
        <x:v>0</x:v>
      </x:c>
      <x:c r="AS44" s="286" t="n">
        <x:f>SUM('초등학교+병설유치원(8월)'!BY46:'초등학교+병설유치원(8월)'!CC46)</x:f>
        <x:v>0</x:v>
      </x:c>
      <x:c r="AT44" s="286" t="n">
        <x:f>SUM('초등학교+병설유치원(8월)'!CE46:'초등학교+병설유치원(8월)'!CI46)</x:f>
        <x:v>0</x:v>
      </x:c>
      <x:c r="AU44" s="286" t="n">
        <x:f>SUM('초등학교+병설유치원(8월)'!CK46:'초등학교+병설유치원(8월)'!CO46)</x:f>
        <x:v>0</x:v>
      </x:c>
      <x:c r="AV44" s="286" t="n">
        <x:f>SUM('초등학교+병설유치원(8월)'!CQ46:'초등학교+병설유치원(8월)'!CU46)</x:f>
        <x:v>0</x:v>
      </x:c>
      <x:c r="AW44" s="286" t="n">
        <x:f>SUM('초등학교+병설유치원(8월)'!CW46:'초등학교+병설유치원(8월)'!DA46)</x:f>
        <x:v>0</x:v>
      </x:c>
      <x:c r="AX44" s="286" t="n">
        <x:f>SUM('초등학교+병설유치원(8월)'!DC46:'초등학교+병설유치원(8월)'!DG46)</x:f>
        <x:v>0</x:v>
      </x:c>
      <x:c r="AY44" s="286" t="n">
        <x:f>SUM('초등학교+병설유치원(8월)'!DI46:'초등학교+병설유치원(8월)'!DM46)</x:f>
        <x:v>0</x:v>
      </x:c>
      <x:c r="AZ44" s="286" t="n">
        <x:f>SUM('초등학교+병설유치원(8월)'!DO46:'초등학교+병설유치원(8월)'!DS46)</x:f>
        <x:v>0</x:v>
      </x:c>
      <x:c r="BA44" s="286" t="n">
        <x:f>SUM('초등학교+병설유치원(8월)'!DU46:'초등학교+병설유치원(8월)'!DY46)</x:f>
        <x:v>0</x:v>
      </x:c>
      <x:c r="BB44" s="286" t="n">
        <x:f>SUM('초등학교+병설유치원(8월)'!EA46:'초등학교+병설유치원(8월)'!EE46)</x:f>
        <x:v>0</x:v>
      </x:c>
    </x:row>
    <x:row r="45" ht="44" customHeight="1">
      <x:c r="A45" s="282" t="n">
        <x:f>IF('초등학교+병설유치원(7월)'!A47="","",'초등학교+병설유치원(7월)'!A47)</x:f>
        <x:v>30</x:v>
      </x:c>
      <x:c r="B45" s="282" t="str">
        <x:v>초등학교</x:v>
      </x:c>
      <x:c r="C45" s="282" t="str">
        <x:f>IF('초등학교+병설유치원(7월)'!B47="","",'초등학교+병설유치원(7월)'!B47)</x:f>
        <x:v>익산옥야초</x:v>
      </x:c>
      <x:c r="D45" s="281" t="str">
        <x:f>IF('초등학교+병설유치원(7월)'!C47="","",'초등학교+병설유치원(7월)'!C47)</x:f>
        <x:v>익산시 옛둑2길 52</x:v>
      </x:c>
      <x:c r="E45" s="281" t="str">
        <x:f>IF('초등학교+병설유치원(7월)'!D47="","",'초등학교+병설유치원(7월)'!D47)</x:f>
        <x:v>이은선
(070-4913-6648
010-2070-1702)</x:v>
      </x:c>
      <x:c r="F45" s="281" t="str">
        <x:f>IF('초등학교+병설유치원(7월)'!E47="","",'초등학교+병설유치원(7월)'!E47)</x:f>
        <x:v>이은선
(070-837-7013
010-2070-1702)</x:v>
      </x:c>
      <x:c r="G45" s="284" t="n">
        <x:f>IF('초등학교+병설유치원(7월)'!F47="","",'초등학교+병설유치원(7월)'!F47)</x:f>
        <x:v>13</x:v>
      </x:c>
      <x:c r="H45" s="284" t="n">
        <x:f>IF('초등학교+병설유치원(7월)'!G47="","",'초등학교+병설유치원(7월)'!G47)</x:f>
        <x:v>13</x:v>
      </x:c>
      <x:c r="I45" s="284" t="str">
        <x:f>IF('초등학교+병설유치원(7월)'!H47="","",'초등학교+병설유치원(7월)'!H47)</x:f>
      </x:c>
      <x:c r="J45" s="284" t="str">
        <x:f>IF('초등학교+병설유치원(7월)'!I47="","",'초등학교+병설유치원(7월)'!I47)</x:f>
      </x:c>
      <x:c r="K45" s="284" t="str">
        <x:f>IF('초등학교+병설유치원(7월)'!J47="","",'초등학교+병설유치원(7월)'!J47)</x:f>
      </x:c>
      <x:c r="L45" s="284" t="str">
        <x:f>IF('초등학교+병설유치원(7월)'!K47="","",'초등학교+병설유치원(7월)'!K47)</x:f>
      </x:c>
      <x:c r="M45" s="285" t="n">
        <x:f>IF('초등학교+병설유치원(7월)'!L47="","",'초등학교+병설유치원(7월)'!L47)</x:f>
        <x:v>0.4791666666666667</x:v>
      </x:c>
      <x:c r="N45" s="281" t="str">
        <x:f>IF('초등학교+병설유치원(7월)'!M47="","",'초등학교+병설유치원(7월)'!M47)</x:f>
        <x:v>7.30.~8.20.
(15일)</x:v>
      </x:c>
      <x:c r="O45" s="281" t="str">
        <x:f>IF('초등학교+병설유치원(7월)'!N47="","",'초등학교+병설유치원(7월)'!N47)</x:f>
      </x:c>
      <x:c r="P45" s="282" t="str">
        <x:f>IF('초등학교+병설유치원(7월)'!O47="","",'초등학교+병설유치원(7월)'!O47)</x:f>
        <x:v>15일</x:v>
      </x:c>
      <x:c r="Q45" s="282" t="str">
        <x:f>IF('초등학교+병설유치원(7월)'!P47="","",'초등학교+병설유치원(7월)'!P47)</x:f>
        <x:v>배식</x:v>
      </x:c>
      <x:c r="R45" s="281" t="str">
        <x:f>IF('초등학교+병설유치원(7월)'!CF47="","",'초등학교+병설유치원(7월)'!CF47)</x:f>
        <x:v>돌봄1반</x:v>
      </x:c>
      <x:c r="S45" s="281" t="str">
        <x:f>IF('초등학교+병설유치원(7월)'!CG47="","",'초등학교+병설유치원(7월)'!CG47)</x:f>
        <x:v>이은선</x:v>
      </x:c>
      <x:c r="T45" s="281" t="str">
        <x:f>IF('초등학교+병설유치원(7월)'!CH47="","",'초등학교+병설유치원(7월)'!CH47)</x:f>
      </x:c>
      <x:c r="U45" s="288" t="n">
        <x:f>SUM(X45:AH45)</x:f>
        <x:v>26</x:v>
      </x:c>
      <x:c r="V45" s="288" t="n">
        <x:f>SUM(AI45:BB45)</x:f>
        <x:v>169</x:v>
      </x:c>
      <x:c r="W45" s="288" t="n">
        <x:f>U45+V45</x:f>
        <x:v>195</x:v>
      </x:c>
      <x:c r="X45" s="286" t="n">
        <x:f>SUM('초등학교+병설유치원(7월)'!Q47:'초등학교+병설유치원(7월)'!U47)</x:f>
        <x:v>0</x:v>
      </x:c>
      <x:c r="Y45" s="286" t="n">
        <x:f>SUM('초등학교+병설유치원(7월)'!W47:'초등학교+병설유치원(7월)'!AA47)</x:f>
        <x:v>0</x:v>
      </x:c>
      <x:c r="Z45" s="286" t="n">
        <x:f>SUM('초등학교+병설유치원(7월)'!AC47:'초등학교+병설유치원(7월)'!AG47)</x:f>
        <x:v>0</x:v>
      </x:c>
      <x:c r="AA45" s="286" t="n">
        <x:f>SUM('초등학교+병설유치원(7월)'!AI47:'초등학교+병설유치원(7월)'!AM47)</x:f>
        <x:v>0</x:v>
      </x:c>
      <x:c r="AB45" s="286" t="n">
        <x:f>SUM('초등학교+병설유치원(7월)'!AO47:'초등학교+병설유치원(7월)'!AS47)</x:f>
        <x:v>0</x:v>
      </x:c>
      <x:c r="AC45" s="286" t="n">
        <x:f>SUM('초등학교+병설유치원(7월)'!AU47:'초등학교+병설유치원(7월)'!AY47)</x:f>
        <x:v>0</x:v>
      </x:c>
      <x:c r="AD45" s="286" t="n">
        <x:f>SUM('초등학교+병설유치원(7월)'!BA47:'초등학교+병설유치원(7월)'!BE47)</x:f>
        <x:v>0</x:v>
      </x:c>
      <x:c r="AE45" s="286" t="n">
        <x:f>SUM('초등학교+병설유치원(7월)'!BG47:'초등학교+병설유치원(7월)'!BK47)</x:f>
        <x:v>0</x:v>
      </x:c>
      <x:c r="AF45" s="286" t="n">
        <x:f>SUM('초등학교+병설유치원(7월)'!BM47:'초등학교+병설유치원(7월)'!BQ47)</x:f>
        <x:v>0</x:v>
      </x:c>
      <x:c r="AG45" s="286" t="n">
        <x:f>SUM('초등학교+병설유치원(7월)'!BS47:'초등학교+병설유치원(7월)'!BW47)</x:f>
        <x:v>13</x:v>
      </x:c>
      <x:c r="AH45" s="286" t="n">
        <x:f>SUM('초등학교+병설유치원(7월)'!BY47:'초등학교+병설유치원(7월)'!CC47)</x:f>
        <x:v>13</x:v>
      </x:c>
      <x:c r="AI45" s="286" t="n">
        <x:f>SUM('초등학교+병설유치원(8월)'!Q47:'초등학교+병설유치원(8월)'!U47)</x:f>
        <x:v>13</x:v>
      </x:c>
      <x:c r="AJ45" s="286" t="n">
        <x:f>SUM('초등학교+병설유치원(8월)'!W47:'초등학교+병설유치원(8월)'!AA47)</x:f>
        <x:v>13</x:v>
      </x:c>
      <x:c r="AK45" s="286" t="n">
        <x:f>SUM('초등학교+병설유치원(8월)'!AC47:'초등학교+병설유치원(8월)'!AG47)</x:f>
        <x:v>13</x:v>
      </x:c>
      <x:c r="AL45" s="286" t="n">
        <x:f>SUM('초등학교+병설유치원(8월)'!AI47:'초등학교+병설유치원(8월)'!AM47)</x:f>
        <x:v>13</x:v>
      </x:c>
      <x:c r="AM45" s="286" t="n">
        <x:f>SUM('초등학교+병설유치원(8월)'!AO47:'초등학교+병설유치원(8월)'!AS47)</x:f>
        <x:v>13</x:v>
      </x:c>
      <x:c r="AN45" s="286" t="n">
        <x:f>SUM('초등학교+병설유치원(8월)'!AU47:'초등학교+병설유치원(8월)'!AY47)</x:f>
        <x:v>13</x:v>
      </x:c>
      <x:c r="AO45" s="286" t="n">
        <x:f>SUM('초등학교+병설유치원(8월)'!BA47:'초등학교+병설유치원(8월)'!BE47)</x:f>
        <x:v>13</x:v>
      </x:c>
      <x:c r="AP45" s="286" t="n">
        <x:f>SUM('초등학교+병설유치원(8월)'!BG47:'초등학교+병설유치원(8월)'!BK47)</x:f>
        <x:v>13</x:v>
      </x:c>
      <x:c r="AQ45" s="286" t="n">
        <x:f>SUM('초등학교+병설유치원(8월)'!BM47:'초등학교+병설유치원(8월)'!BQ47)</x:f>
        <x:v>13</x:v>
      </x:c>
      <x:c r="AR45" s="286" t="n">
        <x:f>SUM('초등학교+병설유치원(8월)'!BS47:'초등학교+병설유치원(8월)'!BW47)</x:f>
        <x:v>13</x:v>
      </x:c>
      <x:c r="AS45" s="286" t="n">
        <x:f>SUM('초등학교+병설유치원(8월)'!BY47:'초등학교+병설유치원(8월)'!CC47)</x:f>
        <x:v>13</x:v>
      </x:c>
      <x:c r="AT45" s="286" t="n">
        <x:f>SUM('초등학교+병설유치원(8월)'!CE47:'초등학교+병설유치원(8월)'!CI47)</x:f>
        <x:v>13</x:v>
      </x:c>
      <x:c r="AU45" s="286" t="n">
        <x:f>SUM('초등학교+병설유치원(8월)'!CK47:'초등학교+병설유치원(8월)'!CO47)</x:f>
        <x:v>13</x:v>
      </x:c>
      <x:c r="AV45" s="286" t="n">
        <x:f>SUM('초등학교+병설유치원(8월)'!CQ47:'초등학교+병설유치원(8월)'!CU47)</x:f>
        <x:v>0</x:v>
      </x:c>
      <x:c r="AW45" s="286" t="n">
        <x:f>SUM('초등학교+병설유치원(8월)'!CW47:'초등학교+병설유치원(8월)'!DA47)</x:f>
        <x:v>0</x:v>
      </x:c>
      <x:c r="AX45" s="286" t="n">
        <x:f>SUM('초등학교+병설유치원(8월)'!DC47:'초등학교+병설유치원(8월)'!DG47)</x:f>
        <x:v>0</x:v>
      </x:c>
      <x:c r="AY45" s="286" t="n">
        <x:f>SUM('초등학교+병설유치원(8월)'!DI47:'초등학교+병설유치원(8월)'!DM47)</x:f>
        <x:v>0</x:v>
      </x:c>
      <x:c r="AZ45" s="286" t="n">
        <x:f>SUM('초등학교+병설유치원(8월)'!DO47:'초등학교+병설유치원(8월)'!DS47)</x:f>
        <x:v>0</x:v>
      </x:c>
      <x:c r="BA45" s="286" t="n">
        <x:f>SUM('초등학교+병설유치원(8월)'!DU47:'초등학교+병설유치원(8월)'!DY47)</x:f>
        <x:v>0</x:v>
      </x:c>
      <x:c r="BB45" s="286" t="n">
        <x:f>SUM('초등학교+병설유치원(8월)'!EA47:'초등학교+병설유치원(8월)'!EE47)</x:f>
        <x:v>0</x:v>
      </x:c>
    </x:row>
    <x:row r="46" ht="44" customHeight="1">
      <x:c r="A46" s="282" t="n">
        <x:f>IF('초등학교+병설유치원(7월)'!A48="","",'초등학교+병설유치원(7월)'!A48)</x:f>
        <x:v>31</x:v>
      </x:c>
      <x:c r="B46" s="282" t="str">
        <x:v>초등학교</x:v>
      </x:c>
      <x:c r="C46" s="282" t="str">
        <x:f>IF('초등학교+병설유치원(7월)'!B48="","",'초등학교+병설유치원(7월)'!B48)</x:f>
        <x:v>익산초</x:v>
      </x:c>
      <x:c r="D46" s="281" t="str">
        <x:f>IF('초등학교+병설유치원(7월)'!C48="","",'초등학교+병설유치원(7월)'!C48)</x:f>
        <x:v>익산시 동서로 61길 27-38</x:v>
      </x:c>
      <x:c r="E46" s="281" t="str">
        <x:f>IF('초등학교+병설유치원(7월)'!D48="","",'초등학교+병설유치원(7월)'!D48)</x:f>
        <x:v>장길주
(070-4628-6532
010-9890-3028)</x:v>
      </x:c>
      <x:c r="F46" s="281" t="str">
        <x:f>IF('초등학교+병설유치원(7월)'!E48="","",'초등학교+병설유치원(7월)'!E48)</x:f>
        <x:v>심수진
(063-831-4383)</x:v>
      </x:c>
      <x:c r="G46" s="284" t="n">
        <x:f>IF('초등학교+병설유치원(7월)'!F48="","",'초등학교+병설유치원(7월)'!F48)</x:f>
        <x:v>45</x:v>
      </x:c>
      <x:c r="H46" s="284" t="n">
        <x:f>IF('초등학교+병설유치원(7월)'!G48="","",'초등학교+병설유치원(7월)'!G48)</x:f>
        <x:v>23</x:v>
      </x:c>
      <x:c r="I46" s="284" t="n">
        <x:f>IF('초등학교+병설유치원(7월)'!H48="","",'초등학교+병설유치원(7월)'!H48)</x:f>
        <x:v>22</x:v>
      </x:c>
      <x:c r="J46" s="284" t="str">
        <x:f>IF('초등학교+병설유치원(7월)'!I48="","",'초등학교+병설유치원(7월)'!I48)</x:f>
      </x:c>
      <x:c r="K46" s="284" t="str">
        <x:f>IF('초등학교+병설유치원(7월)'!J48="","",'초등학교+병설유치원(7월)'!J48)</x:f>
      </x:c>
      <x:c r="L46" s="284" t="str">
        <x:f>IF('초등학교+병설유치원(7월)'!K48="","",'초등학교+병설유치원(7월)'!K48)</x:f>
      </x:c>
      <x:c r="M46" s="285" t="n">
        <x:f>IF('초등학교+병설유치원(7월)'!L48="","",'초등학교+병설유치원(7월)'!L48)</x:f>
        <x:v>0.5</x:v>
      </x:c>
      <x:c r="N46" s="281" t="str">
        <x:f>IF('초등학교+병설유치원(7월)'!M48="","",'초등학교+병설유치원(7월)'!M48)</x:f>
        <x:v>7.29.~8.18.
(14일)</x:v>
      </x:c>
      <x:c r="O46" s="281" t="str">
        <x:f>IF('초등학교+병설유치원(7월)'!N48="","",'초등학교+병설유치원(7월)'!N48)</x:f>
      </x:c>
      <x:c r="P46" s="282" t="str">
        <x:f>IF('초등학교+병설유치원(7월)'!O48="","",'초등학교+병설유치원(7월)'!O48)</x:f>
        <x:v>14일</x:v>
      </x:c>
      <x:c r="Q46" s="282" t="str">
        <x:f>IF('초등학교+병설유치원(7월)'!P48="","",'초등학교+병설유치원(7월)'!P48)</x:f>
        <x:v>배식</x:v>
      </x:c>
      <x:c r="R46" s="281" t="str">
        <x:f>IF('초등학교+병설유치원(7월)'!CF48="","",'초등학교+병설유치원(7월)'!CF48)</x:f>
        <x:v>돌봄1반</x:v>
      </x:c>
      <x:c r="S46" s="281" t="str">
        <x:f>IF('초등학교+병설유치원(7월)'!CG48="","",'초등학교+병설유치원(7월)'!CG48)</x:f>
        <x:v>남진숙</x:v>
      </x:c>
      <x:c r="T46" s="281" t="str">
        <x:f>IF('초등학교+병설유치원(7월)'!CH48="","",'초등학교+병설유치원(7월)'!CH48)</x:f>
      </x:c>
      <x:c r="U46" s="288" t="n">
        <x:f>SUM(X46:AH46)</x:f>
        <x:v>135</x:v>
      </x:c>
      <x:c r="V46" s="288" t="n">
        <x:f>SUM(AI46:BB46)</x:f>
        <x:v>495</x:v>
      </x:c>
      <x:c r="W46" s="288" t="n">
        <x:f>U46+V46</x:f>
        <x:v>630</x:v>
      </x:c>
      <x:c r="X46" s="286" t="n">
        <x:f>SUM('초등학교+병설유치원(7월)'!Q48:'초등학교+병설유치원(7월)'!U48)</x:f>
        <x:v>0</x:v>
      </x:c>
      <x:c r="Y46" s="286" t="n">
        <x:f>SUM('초등학교+병설유치원(7월)'!W48:'초등학교+병설유치원(7월)'!AA48)</x:f>
        <x:v>0</x:v>
      </x:c>
      <x:c r="Z46" s="286" t="n">
        <x:f>SUM('초등학교+병설유치원(7월)'!AC48:'초등학교+병설유치원(7월)'!AG48)</x:f>
        <x:v>0</x:v>
      </x:c>
      <x:c r="AA46" s="286" t="n">
        <x:f>SUM('초등학교+병설유치원(7월)'!AI48:'초등학교+병설유치원(7월)'!AM48)</x:f>
        <x:v>0</x:v>
      </x:c>
      <x:c r="AB46" s="286" t="n">
        <x:f>SUM('초등학교+병설유치원(7월)'!AO48:'초등학교+병설유치원(7월)'!AS48)</x:f>
        <x:v>0</x:v>
      </x:c>
      <x:c r="AC46" s="286" t="n">
        <x:f>SUM('초등학교+병설유치원(7월)'!AU48:'초등학교+병설유치원(7월)'!AY48)</x:f>
        <x:v>0</x:v>
      </x:c>
      <x:c r="AD46" s="286" t="n">
        <x:f>SUM('초등학교+병설유치원(7월)'!BA48:'초등학교+병설유치원(7월)'!BE48)</x:f>
        <x:v>0</x:v>
      </x:c>
      <x:c r="AE46" s="286" t="n">
        <x:f>SUM('초등학교+병설유치원(7월)'!BG48:'초등학교+병설유치원(7월)'!BK48)</x:f>
        <x:v>0</x:v>
      </x:c>
      <x:c r="AF46" s="286" t="n">
        <x:f>SUM('초등학교+병설유치원(7월)'!BM48:'초등학교+병설유치원(7월)'!BQ48)</x:f>
        <x:v>45</x:v>
      </x:c>
      <x:c r="AG46" s="286" t="n">
        <x:f>SUM('초등학교+병설유치원(7월)'!BS48:'초등학교+병설유치원(7월)'!BW48)</x:f>
        <x:v>45</x:v>
      </x:c>
      <x:c r="AH46" s="286" t="n">
        <x:f>SUM('초등학교+병설유치원(7월)'!BY48:'초등학교+병설유치원(7월)'!CC48)</x:f>
        <x:v>45</x:v>
      </x:c>
      <x:c r="AI46" s="286" t="n">
        <x:f>SUM('초등학교+병설유치원(8월)'!Q48:'초등학교+병설유치원(8월)'!U48)</x:f>
        <x:v>45</x:v>
      </x:c>
      <x:c r="AJ46" s="286" t="n">
        <x:f>SUM('초등학교+병설유치원(8월)'!W48:'초등학교+병설유치원(8월)'!AA48)</x:f>
        <x:v>45</x:v>
      </x:c>
      <x:c r="AK46" s="286" t="n">
        <x:f>SUM('초등학교+병설유치원(8월)'!AC48:'초등학교+병설유치원(8월)'!AG48)</x:f>
        <x:v>45</x:v>
      </x:c>
      <x:c r="AL46" s="286" t="n">
        <x:f>SUM('초등학교+병설유치원(8월)'!AI48:'초등학교+병설유치원(8월)'!AM48)</x:f>
        <x:v>45</x:v>
      </x:c>
      <x:c r="AM46" s="286" t="n">
        <x:f>SUM('초등학교+병설유치원(8월)'!AO48:'초등학교+병설유치원(8월)'!AS48)</x:f>
        <x:v>45</x:v>
      </x:c>
      <x:c r="AN46" s="286" t="n">
        <x:f>SUM('초등학교+병설유치원(8월)'!AU48:'초등학교+병설유치원(8월)'!AY48)</x:f>
        <x:v>45</x:v>
      </x:c>
      <x:c r="AO46" s="286" t="n">
        <x:f>SUM('초등학교+병설유치원(8월)'!BA48:'초등학교+병설유치원(8월)'!BE48)</x:f>
        <x:v>45</x:v>
      </x:c>
      <x:c r="AP46" s="286" t="n">
        <x:f>SUM('초등학교+병설유치원(8월)'!BG48:'초등학교+병설유치원(8월)'!BK48)</x:f>
        <x:v>45</x:v>
      </x:c>
      <x:c r="AQ46" s="286" t="n">
        <x:f>SUM('초등학교+병설유치원(8월)'!BM48:'초등학교+병설유치원(8월)'!BQ48)</x:f>
        <x:v>45</x:v>
      </x:c>
      <x:c r="AR46" s="286" t="n">
        <x:f>SUM('초등학교+병설유치원(8월)'!BS48:'초등학교+병설유치원(8월)'!BW48)</x:f>
        <x:v>45</x:v>
      </x:c>
      <x:c r="AS46" s="286" t="n">
        <x:f>SUM('초등학교+병설유치원(8월)'!BY48:'초등학교+병설유치원(8월)'!CC48)</x:f>
        <x:v>45</x:v>
      </x:c>
      <x:c r="AT46" s="286" t="n">
        <x:f>SUM('초등학교+병설유치원(8월)'!CE48:'초등학교+병설유치원(8월)'!CI48)</x:f>
        <x:v>0</x:v>
      </x:c>
      <x:c r="AU46" s="286" t="n">
        <x:f>SUM('초등학교+병설유치원(8월)'!CK48:'초등학교+병설유치원(8월)'!CO48)</x:f>
        <x:v>0</x:v>
      </x:c>
      <x:c r="AV46" s="286" t="n">
        <x:f>SUM('초등학교+병설유치원(8월)'!CQ48:'초등학교+병설유치원(8월)'!CU48)</x:f>
        <x:v>0</x:v>
      </x:c>
      <x:c r="AW46" s="286" t="n">
        <x:f>SUM('초등학교+병설유치원(8월)'!CW48:'초등학교+병설유치원(8월)'!DA48)</x:f>
        <x:v>0</x:v>
      </x:c>
      <x:c r="AX46" s="286" t="n">
        <x:f>SUM('초등학교+병설유치원(8월)'!DC48:'초등학교+병설유치원(8월)'!DG48)</x:f>
        <x:v>0</x:v>
      </x:c>
      <x:c r="AY46" s="286" t="n">
        <x:f>SUM('초등학교+병설유치원(8월)'!DI48:'초등학교+병설유치원(8월)'!DM48)</x:f>
        <x:v>0</x:v>
      </x:c>
      <x:c r="AZ46" s="286" t="n">
        <x:f>SUM('초등학교+병설유치원(8월)'!DO48:'초등학교+병설유치원(8월)'!DS48)</x:f>
        <x:v>0</x:v>
      </x:c>
      <x:c r="BA46" s="286" t="n">
        <x:f>SUM('초등학교+병설유치원(8월)'!DU48:'초등학교+병설유치원(8월)'!DY48)</x:f>
        <x:v>0</x:v>
      </x:c>
      <x:c r="BB46" s="286" t="n">
        <x:f>SUM('초등학교+병설유치원(8월)'!EA48:'초등학교+병설유치원(8월)'!EE48)</x:f>
        <x:v>0</x:v>
      </x:c>
    </x:row>
    <x:row r="47" ht="44" customHeight="1">
      <x:c r="A47" s="282" t="n">
        <x:f>IF('초등학교+병설유치원(7월)'!A49="","",'초등학교+병설유치원(7월)'!A49)</x:f>
        <x:v>32</x:v>
      </x:c>
      <x:c r="B47" s="282" t="str">
        <x:v>초등학교</x:v>
      </x:c>
      <x:c r="C47" s="282" t="str">
        <x:f>IF('초등학교+병설유치원(7월)'!B49="","",'초등학교+병설유치원(7월)'!B49)</x:f>
        <x:v>익산한벌초</x:v>
      </x:c>
      <x:c r="D47" s="281" t="str">
        <x:f>IF('초등학교+병설유치원(7월)'!C49="","",'초등학교+병설유치원(7월)'!C49)</x:f>
        <x:v>익산시 부송1로 115</x:v>
      </x:c>
      <x:c r="E47" s="281" t="str">
        <x:f>IF('초등학교+병설유치원(7월)'!D49="","",'초등학교+병설유치원(7월)'!D49)</x:f>
        <x:v>김은숙
(063-839-1590
010-4344-5089)</x:v>
      </x:c>
      <x:c r="F47" s="281" t="str">
        <x:f>IF('초등학교+병설유치원(7월)'!E49="","",'초등학교+병설유치원(7월)'!E49)</x:f>
        <x:v>김은숙
(063-839-1590
010-4344-5089)</x:v>
      </x:c>
      <x:c r="G47" s="284" t="n">
        <x:f>IF('초등학교+병설유치원(7월)'!F49="","",'초등학교+병설유치원(7월)'!F49)</x:f>
        <x:v>35</x:v>
      </x:c>
      <x:c r="H47" s="284" t="n">
        <x:f>IF('초등학교+병설유치원(7월)'!G49="","",'초등학교+병설유치원(7월)'!G49)</x:f>
        <x:v>19</x:v>
      </x:c>
      <x:c r="I47" s="284" t="n">
        <x:f>IF('초등학교+병설유치원(7월)'!H49="","",'초등학교+병설유치원(7월)'!H49)</x:f>
        <x:v>16</x:v>
      </x:c>
      <x:c r="J47" s="284" t="str">
        <x:f>IF('초등학교+병설유치원(7월)'!I49="","",'초등학교+병설유치원(7월)'!I49)</x:f>
      </x:c>
      <x:c r="K47" s="284" t="str">
        <x:f>IF('초등학교+병설유치원(7월)'!J49="","",'초등학교+병설유치원(7월)'!J49)</x:f>
      </x:c>
      <x:c r="L47" s="284" t="str">
        <x:f>IF('초등학교+병설유치원(7월)'!K49="","",'초등학교+병설유치원(7월)'!K49)</x:f>
      </x:c>
      <x:c r="M47" s="285" t="n">
        <x:f>IF('초등학교+병설유치원(7월)'!L49="","",'초등학교+병설유치원(7월)'!L49)</x:f>
        <x:v>0.4930555555555556</x:v>
      </x:c>
      <x:c r="N47" s="281" t="str">
        <x:f>IF('초등학교+병설유치원(7월)'!M49="","",'초등학교+병설유치원(7월)'!M49)</x:f>
        <x:v>7.30.~8.19.
(14일)</x:v>
      </x:c>
      <x:c r="O47" s="281" t="str">
        <x:f>IF('초등학교+병설유치원(7월)'!N49="","",'초등학교+병설유치원(7월)'!N49)</x:f>
      </x:c>
      <x:c r="P47" s="282" t="str">
        <x:f>IF('초등학교+병설유치원(7월)'!O49="","",'초등학교+병설유치원(7월)'!O49)</x:f>
        <x:v>14일</x:v>
      </x:c>
      <x:c r="Q47" s="282" t="str">
        <x:f>IF('초등학교+병설유치원(7월)'!P49="","",'초등학교+병설유치원(7월)'!P49)</x:f>
        <x:v>배식</x:v>
      </x:c>
      <x:c r="R47" s="281" t="str">
        <x:f>IF('초등학교+병설유치원(7월)'!CF49="","",'초등학교+병설유치원(7월)'!CF49)</x:f>
        <x:v>돌봄2반</x:v>
      </x:c>
      <x:c r="S47" s="281" t="str">
        <x:f>IF('초등학교+병설유치원(7월)'!CG49="","",'초등학교+병설유치원(7월)'!CG49)</x:f>
        <x:v>김은숙</x:v>
      </x:c>
      <x:c r="T47" s="281" t="str">
        <x:f>IF('초등학교+병설유치원(7월)'!CH49="","",'초등학교+병설유치원(7월)'!CH49)</x:f>
      </x:c>
      <x:c r="U47" s="288" t="n">
        <x:f>SUM(X47:AH47)</x:f>
        <x:v>70</x:v>
      </x:c>
      <x:c r="V47" s="288" t="n">
        <x:f>SUM(AI47:BB47)</x:f>
        <x:v>420</x:v>
      </x:c>
      <x:c r="W47" s="288" t="n">
        <x:f>U47+V47</x:f>
        <x:v>490</x:v>
      </x:c>
      <x:c r="X47" s="286" t="n">
        <x:f>SUM('초등학교+병설유치원(7월)'!Q49:'초등학교+병설유치원(7월)'!U49)</x:f>
        <x:v>0</x:v>
      </x:c>
      <x:c r="Y47" s="286" t="n">
        <x:f>SUM('초등학교+병설유치원(7월)'!W49:'초등학교+병설유치원(7월)'!AA49)</x:f>
        <x:v>0</x:v>
      </x:c>
      <x:c r="Z47" s="286" t="n">
        <x:f>SUM('초등학교+병설유치원(7월)'!AC49:'초등학교+병설유치원(7월)'!AG49)</x:f>
        <x:v>0</x:v>
      </x:c>
      <x:c r="AA47" s="286" t="n">
        <x:f>SUM('초등학교+병설유치원(7월)'!AI49:'초등학교+병설유치원(7월)'!AM49)</x:f>
        <x:v>0</x:v>
      </x:c>
      <x:c r="AB47" s="286" t="n">
        <x:f>SUM('초등학교+병설유치원(7월)'!AO49:'초등학교+병설유치원(7월)'!AS49)</x:f>
        <x:v>0</x:v>
      </x:c>
      <x:c r="AC47" s="286" t="n">
        <x:f>SUM('초등학교+병설유치원(7월)'!AU49:'초등학교+병설유치원(7월)'!AY49)</x:f>
        <x:v>0</x:v>
      </x:c>
      <x:c r="AD47" s="286" t="n">
        <x:f>SUM('초등학교+병설유치원(7월)'!BA49:'초등학교+병설유치원(7월)'!BE49)</x:f>
        <x:v>0</x:v>
      </x:c>
      <x:c r="AE47" s="286" t="n">
        <x:f>SUM('초등학교+병설유치원(7월)'!BG49:'초등학교+병설유치원(7월)'!BK49)</x:f>
        <x:v>0</x:v>
      </x:c>
      <x:c r="AF47" s="286" t="n">
        <x:f>SUM('초등학교+병설유치원(7월)'!BM49:'초등학교+병설유치원(7월)'!BQ49)</x:f>
        <x:v>0</x:v>
      </x:c>
      <x:c r="AG47" s="286" t="n">
        <x:f>SUM('초등학교+병설유치원(7월)'!BS49:'초등학교+병설유치원(7월)'!BW49)</x:f>
        <x:v>35</x:v>
      </x:c>
      <x:c r="AH47" s="286" t="n">
        <x:f>SUM('초등학교+병설유치원(7월)'!BY49:'초등학교+병설유치원(7월)'!CC49)</x:f>
        <x:v>35</x:v>
      </x:c>
      <x:c r="AI47" s="286" t="n">
        <x:f>SUM('초등학교+병설유치원(8월)'!Q49:'초등학교+병설유치원(8월)'!U49)</x:f>
        <x:v>35</x:v>
      </x:c>
      <x:c r="AJ47" s="286" t="n">
        <x:f>SUM('초등학교+병설유치원(8월)'!W49:'초등학교+병설유치원(8월)'!AA49)</x:f>
        <x:v>35</x:v>
      </x:c>
      <x:c r="AK47" s="286" t="n">
        <x:f>SUM('초등학교+병설유치원(8월)'!AC49:'초등학교+병설유치원(8월)'!AG49)</x:f>
        <x:v>35</x:v>
      </x:c>
      <x:c r="AL47" s="286" t="n">
        <x:f>SUM('초등학교+병설유치원(8월)'!AI49:'초등학교+병설유치원(8월)'!AM49)</x:f>
        <x:v>35</x:v>
      </x:c>
      <x:c r="AM47" s="286" t="n">
        <x:f>SUM('초등학교+병설유치원(8월)'!AO49:'초등학교+병설유치원(8월)'!AS49)</x:f>
        <x:v>35</x:v>
      </x:c>
      <x:c r="AN47" s="286" t="n">
        <x:f>SUM('초등학교+병설유치원(8월)'!AU49:'초등학교+병설유치원(8월)'!AY49)</x:f>
        <x:v>35</x:v>
      </x:c>
      <x:c r="AO47" s="286" t="n">
        <x:f>SUM('초등학교+병설유치원(8월)'!BA49:'초등학교+병설유치원(8월)'!BE49)</x:f>
        <x:v>35</x:v>
      </x:c>
      <x:c r="AP47" s="286" t="n">
        <x:f>SUM('초등학교+병설유치원(8월)'!BG49:'초등학교+병설유치원(8월)'!BK49)</x:f>
        <x:v>35</x:v>
      </x:c>
      <x:c r="AQ47" s="286" t="n">
        <x:f>SUM('초등학교+병설유치원(8월)'!BM49:'초등학교+병설유치원(8월)'!BQ49)</x:f>
        <x:v>35</x:v>
      </x:c>
      <x:c r="AR47" s="286" t="n">
        <x:f>SUM('초등학교+병설유치원(8월)'!BS49:'초등학교+병설유치원(8월)'!BW49)</x:f>
        <x:v>35</x:v>
      </x:c>
      <x:c r="AS47" s="286" t="n">
        <x:f>SUM('초등학교+병설유치원(8월)'!BY49:'초등학교+병설유치원(8월)'!CC49)</x:f>
        <x:v>35</x:v>
      </x:c>
      <x:c r="AT47" s="286" t="n">
        <x:f>SUM('초등학교+병설유치원(8월)'!CE49:'초등학교+병설유치원(8월)'!CI49)</x:f>
        <x:v>35</x:v>
      </x:c>
      <x:c r="AU47" s="286" t="n">
        <x:f>SUM('초등학교+병설유치원(8월)'!CK49:'초등학교+병설유치원(8월)'!CO49)</x:f>
        <x:v>0</x:v>
      </x:c>
      <x:c r="AV47" s="286" t="n">
        <x:f>SUM('초등학교+병설유치원(8월)'!CQ49:'초등학교+병설유치원(8월)'!CU49)</x:f>
        <x:v>0</x:v>
      </x:c>
      <x:c r="AW47" s="286" t="n">
        <x:f>SUM('초등학교+병설유치원(8월)'!CW49:'초등학교+병설유치원(8월)'!DA49)</x:f>
        <x:v>0</x:v>
      </x:c>
      <x:c r="AX47" s="286" t="n">
        <x:f>SUM('초등학교+병설유치원(8월)'!DC49:'초등학교+병설유치원(8월)'!DG49)</x:f>
        <x:v>0</x:v>
      </x:c>
      <x:c r="AY47" s="286" t="n">
        <x:f>SUM('초등학교+병설유치원(8월)'!DI49:'초등학교+병설유치원(8월)'!DM49)</x:f>
        <x:v>0</x:v>
      </x:c>
      <x:c r="AZ47" s="286" t="n">
        <x:f>SUM('초등학교+병설유치원(8월)'!DO49:'초등학교+병설유치원(8월)'!DS49)</x:f>
        <x:v>0</x:v>
      </x:c>
      <x:c r="BA47" s="286" t="n">
        <x:f>SUM('초등학교+병설유치원(8월)'!DU49:'초등학교+병설유치원(8월)'!DY49)</x:f>
        <x:v>0</x:v>
      </x:c>
      <x:c r="BB47" s="286" t="n">
        <x:f>SUM('초등학교+병설유치원(8월)'!EA49:'초등학교+병설유치원(8월)'!EE49)</x:f>
        <x:v>0</x:v>
      </x:c>
    </x:row>
    <x:row r="48">
      <x:c r="A48" s="289" t="str">
        <x:v>합계</x:v>
      </x:c>
      <x:c r="B48" s="289"/>
      <x:c r="C48" s="289"/>
      <x:c r="D48" s="289"/>
      <x:c r="E48" s="289"/>
      <x:c r="F48" s="289"/>
      <x:c r="G48" s="290" t="n">
        <x:f>SUM(G7:G47)</x:f>
        <x:v>1157</x:v>
      </x:c>
      <x:c r="H48" s="290" t="n">
        <x:f>SUM(H7:H47)</x:f>
        <x:v>631</x:v>
      </x:c>
      <x:c r="I48" s="290" t="n">
        <x:f>SUM(I7:I47)</x:f>
        <x:v>355</x:v>
      </x:c>
      <x:c r="J48" s="290" t="n">
        <x:f>SUM(J7:J47)</x:f>
        <x:v>85</x:v>
      </x:c>
      <x:c r="K48" s="290" t="n">
        <x:f>SUM(K7:K47)</x:f>
        <x:v>20</x:v>
      </x:c>
      <x:c r="L48" s="290" t="n">
        <x:f>SUM(L7:L47)</x:f>
        <x:v>66</x:v>
      </x:c>
      <x:c r="M48" s="289"/>
      <x:c r="N48" s="289"/>
      <x:c r="O48" s="289"/>
      <x:c r="P48" s="289"/>
      <x:c r="Q48" s="289"/>
      <x:c r="R48" s="289"/>
      <x:c r="S48" s="289"/>
      <x:c r="T48" s="289"/>
      <x:c r="U48" s="290" t="n">
        <x:f>SUM(U7:U47)</x:f>
        <x:v>3116</x:v>
      </x:c>
      <x:c r="V48" s="290" t="n">
        <x:f>SUM(V7:V47)</x:f>
        <x:v>14168</x:v>
      </x:c>
      <x:c r="W48" s="290" t="n">
        <x:f>SUM(W7:W47)</x:f>
        <x:v>17284</x:v>
      </x:c>
      <x:c r="X48" s="290" t="n">
        <x:f>SUM(X7:X47)</x:f>
        <x:v>3</x:v>
      </x:c>
      <x:c r="Y48" s="290" t="n">
        <x:f>SUM(Y7:Y47)</x:f>
        <x:v>27</x:v>
      </x:c>
      <x:c r="Z48" s="290" t="n">
        <x:f>SUM(Z7:Z47)</x:f>
        <x:v>27</x:v>
      </x:c>
      <x:c r="AA48" s="290" t="n">
        <x:f>SUM(AA7:AA47)</x:f>
        <x:v>27</x:v>
      </x:c>
      <x:c r="AB48" s="290" t="n">
        <x:f>SUM(AB7:AB47)</x:f>
        <x:v>27</x:v>
      </x:c>
      <x:c r="AC48" s="290" t="n">
        <x:f>SUM(AC7:AC47)</x:f>
        <x:v>37</x:v>
      </x:c>
      <x:c r="AD48" s="290" t="n">
        <x:f>SUM(AD7:AD47)</x:f>
        <x:v>271</x:v>
      </x:c>
      <x:c r="AE48" s="290" t="n">
        <x:f>SUM(AE7:AE47)</x:f>
        <x:v>479</x:v>
      </x:c>
      <x:c r="AF48" s="290" t="n">
        <x:f>SUM(AF7:AF47)</x:f>
        <x:v>592</x:v>
      </x:c>
      <x:c r="AG48" s="290" t="n">
        <x:f>SUM(AG7:AG47)</x:f>
        <x:v>813</x:v>
      </x:c>
      <x:c r="AH48" s="290" t="n">
        <x:f>SUM(AH7:AH47)</x:f>
        <x:v>813</x:v>
      </x:c>
      <x:c r="AI48" s="290" t="n">
        <x:f>SUM(AI7:AI47)</x:f>
        <x:v>1148</x:v>
      </x:c>
      <x:c r="AJ48" s="290" t="n">
        <x:f>SUM(AJ7:AJ47)</x:f>
        <x:v>1157</x:v>
      </x:c>
      <x:c r="AK48" s="290" t="n">
        <x:f>SUM(AK7:AK47)</x:f>
        <x:v>1157</x:v>
      </x:c>
      <x:c r="AL48" s="290" t="n">
        <x:f>SUM(AL7:AL47)</x:f>
        <x:v>1157</x:v>
      </x:c>
      <x:c r="AM48" s="290" t="n">
        <x:f>SUM(AM7:AM47)</x:f>
        <x:v>1157</x:v>
      </x:c>
      <x:c r="AN48" s="290" t="n">
        <x:f>SUM(AN7:AN47)</x:f>
        <x:v>1129</x:v>
      </x:c>
      <x:c r="AO48" s="290" t="n">
        <x:f>SUM(AO7:AO47)</x:f>
        <x:v>1129</x:v>
      </x:c>
      <x:c r="AP48" s="290" t="n">
        <x:f>SUM(AP7:AP47)</x:f>
        <x:v>1115</x:v>
      </x:c>
      <x:c r="AQ48" s="290" t="n">
        <x:f>SUM(AQ7:AQ47)</x:f>
        <x:v>1089</x:v>
      </x:c>
      <x:c r="AR48" s="290" t="n">
        <x:f>SUM(AR7:AR47)</x:f>
        <x:v>1044</x:v>
      </x:c>
      <x:c r="AS48" s="290" t="n">
        <x:f>SUM(AS7:AS47)</x:f>
        <x:v>749</x:v>
      </x:c>
      <x:c r="AT48" s="290" t="n">
        <x:f>SUM(AT7:AT47)</x:f>
        <x:v>680</x:v>
      </x:c>
      <x:c r="AU48" s="290" t="n">
        <x:f>SUM(AU7:AU47)</x:f>
        <x:v>497</x:v>
      </x:c>
      <x:c r="AV48" s="290" t="n">
        <x:f>SUM(AV7:AV47)</x:f>
        <x:v>281</x:v>
      </x:c>
      <x:c r="AW48" s="290" t="n">
        <x:f>SUM(AW7:AW47)</x:f>
        <x:v>213</x:v>
      </x:c>
      <x:c r="AX48" s="290" t="n">
        <x:f>SUM(AX7:AX47)</x:f>
        <x:v>126</x:v>
      </x:c>
      <x:c r="AY48" s="290" t="n">
        <x:f>SUM(AY7:AY47)</x:f>
        <x:v>85</x:v>
      </x:c>
      <x:c r="AZ48" s="290" t="n">
        <x:f>SUM(AZ7:AZ47)</x:f>
        <x:v>85</x:v>
      </x:c>
      <x:c r="BA48" s="290" t="n">
        <x:f>SUM(BA7:BA47)</x:f>
        <x:v>85</x:v>
      </x:c>
      <x:c r="BB48" s="290" t="n">
        <x:f>SUM(BB7:BB47)</x:f>
        <x:v>85</x:v>
      </x:c>
    </x:row>
  </x:sheetData>
  <x:mergeCells>
    <x:mergeCell ref="A1:BB1"/>
    <x:mergeCell ref="P3:BB3"/>
    <x:mergeCell ref="A5:T5"/>
    <x:mergeCell ref="U5:W5"/>
    <x:mergeCell ref="X5:AH5"/>
    <x:mergeCell ref="AI5:BB5"/>
  </x:mergeCells>
  <x:pageMargins left="0.7" right="0.7" top="0.75" bottom="0.75" header="0.3" footer="0.3"/>
  <x:tableParts count="1">
    <x:tablePart xmlns:r="http://schemas.openxmlformats.org/officeDocument/2006/relationships" r:id="Ra0a49587b4a9459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26" hidden="0" customWidth="1"/>
    <x:col min="4" max="4" width="14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2" hidden="0" customWidth="1"/>
    <x:col min="11" max="11" width="8" hidden="0" customWidth="1"/>
  </x:cols>
  <x:sheetData>
    <x:row r="1" ht="30" customHeight="1">
      <x:c r="A1" s="242" t="str">
        <x:v>2026년 여름방학 도시락 일자별 상세 공급내역</x:v>
      </x:c>
      <x:c r="B1" s="242" t="str">
        <x:v>2026년 여름방학 도시락 일자별 상세 공급내역</x:v>
      </x:c>
      <x:c r="C1" s="242" t="str">
        <x:v>2026년 여름방학 도시락 일자별 상세 공급내역</x:v>
      </x:c>
      <x:c r="D1" s="242" t="str">
        <x:v>2026년 여름방학 도시락 일자별 상세 공급내역</x:v>
      </x:c>
      <x:c r="E1" s="242" t="str">
        <x:v>2026년 여름방학 도시락 일자별 상세 공급내역</x:v>
      </x:c>
      <x:c r="F1" s="242" t="str">
        <x:v>2026년 여름방학 도시락 일자별 상세 공급내역</x:v>
      </x:c>
      <x:c r="G1" s="242" t="str">
        <x:v>2026년 여름방학 도시락 일자별 상세 공급내역</x:v>
      </x:c>
      <x:c r="H1" s="242" t="str">
        <x:v>2026년 여름방학 도시락 일자별 상세 공급내역</x:v>
      </x:c>
      <x:c r="I1" s="242" t="str">
        <x:v>2026년 여름방학 도시락 일자별 상세 공급내역</x:v>
      </x:c>
      <x:c r="J1" s="242" t="str">
        <x:v>2026년 여름방학 도시락 일자별 상세 공급내역</x:v>
      </x:c>
      <x:c r="K1" s="242" t="str">
        <x:v>2026년 여름방학 도시락 일자별 상세 공급내역</x:v>
      </x:c>
    </x:row>
    <x:row r="3">
      <x:c r="A3" s="248" t="str">
        <x:v>공급기록 수</x:v>
      </x:c>
      <x:c r="B3" s="251" t="n">
        <x:f>COUNTA(C6:C611)</x:f>
        <x:v>606</x:v>
      </x:c>
      <x:c r="C3" s="249"/>
      <x:c r="D3" s="249" t="str">
        <x:v>총 공급량</x:v>
      </x:c>
      <x:c r="E3" s="251" t="n">
        <x:f>SUM(J6:J611)</x:f>
        <x:v>17284</x:v>
      </x:c>
      <x:c r="F3" s="250"/>
      <x:c r="H3" s="255" t="str">
        <x:v>실제 공급이 있는 606건만 기록했습니다.</x:v>
      </x:c>
      <x:c r="I3" s="255"/>
      <x:c r="J3" s="255"/>
      <x:c r="K3" s="255"/>
    </x:row>
    <x:row r="5">
      <x:c r="A5" s="259" t="str">
        <x:v>순번</x:v>
      </x:c>
      <x:c r="B5" s="259" t="str">
        <x:v>구분</x:v>
      </x:c>
      <x:c r="C5" s="259" t="str">
        <x:v>기관명</x:v>
      </x:c>
      <x:c r="D5" s="259" t="str">
        <x:v>공급일</x:v>
      </x:c>
      <x:c r="E5" s="259" t="str">
        <x:v>1반</x:v>
      </x:c>
      <x:c r="F5" s="259" t="str">
        <x:v>2반</x:v>
      </x:c>
      <x:c r="G5" s="259" t="str">
        <x:v>3반</x:v>
      </x:c>
      <x:c r="H5" s="259" t="str">
        <x:v>4반</x:v>
      </x:c>
      <x:c r="I5" s="259" t="str">
        <x:v>연계형</x:v>
      </x:c>
      <x:c r="J5" s="259" t="str">
        <x:v>당일합계</x:v>
      </x:c>
      <x:c r="K5" s="259" t="str">
        <x:v>월</x:v>
      </x:c>
    </x:row>
    <x:row r="6">
      <x:c r="A6" s="291" t="n">
        <x:f>IF('초등학교+병설유치원(7월)'!A9="","",'초등학교+병설유치원(7월)'!A9)</x:f>
        <x:v>1</x:v>
      </x:c>
      <x:c r="B6" s="291" t="str">
        <x:v>초등학교</x:v>
      </x:c>
      <x:c r="C6" s="291" t="str">
        <x:f>IF('초등학교+병설유치원(7월)'!B9="","",'초등학교+병설유치원(7월)'!B9)</x:f>
        <x:v>영만초</x:v>
      </x:c>
      <x:c r="D6" s="293" t="n">
        <x:v>46232</x:v>
      </x:c>
      <x:c r="E6" s="294" t="n">
        <x:f>IF('초등학교+병설유치원(7월)'!BM9="",0,'초등학교+병설유치원(7월)'!BM9)</x:f>
        <x:v>16</x:v>
      </x:c>
      <x:c r="F6" s="294" t="n">
        <x:f>IF('초등학교+병설유치원(7월)'!BN9="",0,'초등학교+병설유치원(7월)'!BN9)</x:f>
        <x:v>15</x:v>
      </x:c>
      <x:c r="G6" s="294" t="n">
        <x:f>IF('초등학교+병설유치원(7월)'!BO9="",0,'초등학교+병설유치원(7월)'!BO9)</x:f>
        <x:v>14</x:v>
      </x:c>
      <x:c r="H6" s="294" t="n">
        <x:f>IF('초등학교+병설유치원(7월)'!BP9="",0,'초등학교+병설유치원(7월)'!BP9)</x:f>
        <x:v>0</x:v>
      </x:c>
      <x:c r="I6" s="294" t="n">
        <x:f>IF('초등학교+병설유치원(7월)'!BQ9="",0,'초등학교+병설유치원(7월)'!BQ9)</x:f>
        <x:v>0</x:v>
      </x:c>
      <x:c r="J6" s="296" t="n">
        <x:f>SUM(E6:I6)</x:f>
        <x:v>45</x:v>
      </x:c>
      <x:c r="K6" s="291" t="str">
        <x:v>7월</x:v>
      </x:c>
    </x:row>
    <x:row r="7">
      <x:c r="A7" s="291" t="n">
        <x:f>IF('초등학교+병설유치원(7월)'!A9="","",'초등학교+병설유치원(7월)'!A9)</x:f>
        <x:v>1</x:v>
      </x:c>
      <x:c r="B7" s="291" t="str">
        <x:v>초등학교</x:v>
      </x:c>
      <x:c r="C7" s="291" t="str">
        <x:f>IF('초등학교+병설유치원(7월)'!B9="","",'초등학교+병설유치원(7월)'!B9)</x:f>
        <x:v>영만초</x:v>
      </x:c>
      <x:c r="D7" s="293" t="n">
        <x:v>46233</x:v>
      </x:c>
      <x:c r="E7" s="294" t="n">
        <x:f>IF('초등학교+병설유치원(7월)'!BS9="",0,'초등학교+병설유치원(7월)'!BS9)</x:f>
        <x:v>16</x:v>
      </x:c>
      <x:c r="F7" s="294" t="n">
        <x:f>IF('초등학교+병설유치원(7월)'!BT9="",0,'초등학교+병설유치원(7월)'!BT9)</x:f>
        <x:v>15</x:v>
      </x:c>
      <x:c r="G7" s="294" t="n">
        <x:f>IF('초등학교+병설유치원(7월)'!BU9="",0,'초등학교+병설유치원(7월)'!BU9)</x:f>
        <x:v>14</x:v>
      </x:c>
      <x:c r="H7" s="294" t="n">
        <x:f>IF('초등학교+병설유치원(7월)'!BV9="",0,'초등학교+병설유치원(7월)'!BV9)</x:f>
        <x:v>0</x:v>
      </x:c>
      <x:c r="I7" s="294" t="n">
        <x:f>IF('초등학교+병설유치원(7월)'!BW9="",0,'초등학교+병설유치원(7월)'!BW9)</x:f>
        <x:v>0</x:v>
      </x:c>
      <x:c r="J7" s="296" t="n">
        <x:f>SUM(E7:I7)</x:f>
        <x:v>45</x:v>
      </x:c>
      <x:c r="K7" s="291" t="str">
        <x:v>7월</x:v>
      </x:c>
    </x:row>
    <x:row r="8">
      <x:c r="A8" s="291" t="n">
        <x:f>IF('초등학교+병설유치원(7월)'!A9="","",'초등학교+병설유치원(7월)'!A9)</x:f>
        <x:v>1</x:v>
      </x:c>
      <x:c r="B8" s="291" t="str">
        <x:v>초등학교</x:v>
      </x:c>
      <x:c r="C8" s="291" t="str">
        <x:f>IF('초등학교+병설유치원(7월)'!B9="","",'초등학교+병설유치원(7월)'!B9)</x:f>
        <x:v>영만초</x:v>
      </x:c>
      <x:c r="D8" s="293" t="n">
        <x:v>46234</x:v>
      </x:c>
      <x:c r="E8" s="294" t="n">
        <x:f>IF('초등학교+병설유치원(7월)'!BY9="",0,'초등학교+병설유치원(7월)'!BY9)</x:f>
        <x:v>16</x:v>
      </x:c>
      <x:c r="F8" s="294" t="n">
        <x:f>IF('초등학교+병설유치원(7월)'!BZ9="",0,'초등학교+병설유치원(7월)'!BZ9)</x:f>
        <x:v>15</x:v>
      </x:c>
      <x:c r="G8" s="294" t="n">
        <x:f>IF('초등학교+병설유치원(7월)'!CA9="",0,'초등학교+병설유치원(7월)'!CA9)</x:f>
        <x:v>14</x:v>
      </x:c>
      <x:c r="H8" s="294" t="n">
        <x:f>IF('초등학교+병설유치원(7월)'!CB9="",0,'초등학교+병설유치원(7월)'!CB9)</x:f>
        <x:v>0</x:v>
      </x:c>
      <x:c r="I8" s="294" t="n">
        <x:f>IF('초등학교+병설유치원(7월)'!CC9="",0,'초등학교+병설유치원(7월)'!CC9)</x:f>
        <x:v>0</x:v>
      </x:c>
      <x:c r="J8" s="296" t="n">
        <x:f>SUM(E8:I8)</x:f>
        <x:v>45</x:v>
      </x:c>
      <x:c r="K8" s="291" t="str">
        <x:v>7월</x:v>
      </x:c>
    </x:row>
    <x:row r="9">
      <x:c r="A9" s="291" t="n">
        <x:f>IF('초등학교+병설유치원(7월)'!A10="","",'초등학교+병설유치원(7월)'!A10)</x:f>
        <x:v>2</x:v>
      </x:c>
      <x:c r="B9" s="291" t="str">
        <x:v>초등학교</x:v>
      </x:c>
      <x:c r="C9" s="291" t="str">
        <x:f>IF('초등학교+병설유치원(7월)'!B10="","",'초등학교+병설유치원(7월)'!B10)</x:f>
        <x:v>이리계문초</x:v>
      </x:c>
      <x:c r="D9" s="293" t="n">
        <x:v>46230</x:v>
      </x:c>
      <x:c r="E9" s="294" t="n">
        <x:f>IF('초등학교+병설유치원(7월)'!BA10="",0,'초등학교+병설유치원(7월)'!BA10)</x:f>
        <x:v>12</x:v>
      </x:c>
      <x:c r="F9" s="294" t="n">
        <x:f>IF('초등학교+병설유치원(7월)'!BB10="",0,'초등학교+병설유치원(7월)'!BB10)</x:f>
        <x:v>0</x:v>
      </x:c>
      <x:c r="G9" s="294" t="n">
        <x:f>IF('초등학교+병설유치원(7월)'!BC10="",0,'초등학교+병설유치원(7월)'!BC10)</x:f>
        <x:v>0</x:v>
      </x:c>
      <x:c r="H9" s="294" t="n">
        <x:f>IF('초등학교+병설유치원(7월)'!BD10="",0,'초등학교+병설유치원(7월)'!BD10)</x:f>
        <x:v>0</x:v>
      </x:c>
      <x:c r="I9" s="294" t="n">
        <x:f>IF('초등학교+병설유치원(7월)'!BE10="",0,'초등학교+병설유치원(7월)'!BE10)</x:f>
        <x:v>0</x:v>
      </x:c>
      <x:c r="J9" s="296" t="n">
        <x:f>SUM(E9:I9)</x:f>
        <x:v>12</x:v>
      </x:c>
      <x:c r="K9" s="291" t="str">
        <x:v>7월</x:v>
      </x:c>
    </x:row>
    <x:row r="10">
      <x:c r="A10" s="291" t="n">
        <x:f>IF('초등학교+병설유치원(7월)'!A10="","",'초등학교+병설유치원(7월)'!A10)</x:f>
        <x:v>2</x:v>
      </x:c>
      <x:c r="B10" s="291" t="str">
        <x:v>초등학교</x:v>
      </x:c>
      <x:c r="C10" s="291" t="str">
        <x:f>IF('초등학교+병설유치원(7월)'!B10="","",'초등학교+병설유치원(7월)'!B10)</x:f>
        <x:v>이리계문초</x:v>
      </x:c>
      <x:c r="D10" s="293" t="n">
        <x:v>46231</x:v>
      </x:c>
      <x:c r="E10" s="294" t="n">
        <x:f>IF('초등학교+병설유치원(7월)'!BG10="",0,'초등학교+병설유치원(7월)'!BG10)</x:f>
        <x:v>12</x:v>
      </x:c>
      <x:c r="F10" s="294" t="n">
        <x:f>IF('초등학교+병설유치원(7월)'!BH10="",0,'초등학교+병설유치원(7월)'!BH10)</x:f>
        <x:v>0</x:v>
      </x:c>
      <x:c r="G10" s="294" t="n">
        <x:f>IF('초등학교+병설유치원(7월)'!BI10="",0,'초등학교+병설유치원(7월)'!BI10)</x:f>
        <x:v>0</x:v>
      </x:c>
      <x:c r="H10" s="294" t="n">
        <x:f>IF('초등학교+병설유치원(7월)'!BJ10="",0,'초등학교+병설유치원(7월)'!BJ10)</x:f>
        <x:v>0</x:v>
      </x:c>
      <x:c r="I10" s="294" t="n">
        <x:f>IF('초등학교+병설유치원(7월)'!BK10="",0,'초등학교+병설유치원(7월)'!BK10)</x:f>
        <x:v>0</x:v>
      </x:c>
      <x:c r="J10" s="296" t="n">
        <x:f>SUM(E10:I10)</x:f>
        <x:v>12</x:v>
      </x:c>
      <x:c r="K10" s="291" t="str">
        <x:v>7월</x:v>
      </x:c>
    </x:row>
    <x:row r="11">
      <x:c r="A11" s="291" t="n">
        <x:f>IF('초등학교+병설유치원(7월)'!A10="","",'초등학교+병설유치원(7월)'!A10)</x:f>
        <x:v>2</x:v>
      </x:c>
      <x:c r="B11" s="291" t="str">
        <x:v>초등학교</x:v>
      </x:c>
      <x:c r="C11" s="291" t="str">
        <x:f>IF('초등학교+병설유치원(7월)'!B10="","",'초등학교+병설유치원(7월)'!B10)</x:f>
        <x:v>이리계문초</x:v>
      </x:c>
      <x:c r="D11" s="293" t="n">
        <x:v>46232</x:v>
      </x:c>
      <x:c r="E11" s="294" t="n">
        <x:f>IF('초등학교+병설유치원(7월)'!BM10="",0,'초등학교+병설유치원(7월)'!BM10)</x:f>
        <x:v>12</x:v>
      </x:c>
      <x:c r="F11" s="294" t="n">
        <x:f>IF('초등학교+병설유치원(7월)'!BN10="",0,'초등학교+병설유치원(7월)'!BN10)</x:f>
        <x:v>0</x:v>
      </x:c>
      <x:c r="G11" s="294" t="n">
        <x:f>IF('초등학교+병설유치원(7월)'!BO10="",0,'초등학교+병설유치원(7월)'!BO10)</x:f>
        <x:v>0</x:v>
      </x:c>
      <x:c r="H11" s="294" t="n">
        <x:f>IF('초등학교+병설유치원(7월)'!BP10="",0,'초등학교+병설유치원(7월)'!BP10)</x:f>
        <x:v>0</x:v>
      </x:c>
      <x:c r="I11" s="294" t="n">
        <x:f>IF('초등학교+병설유치원(7월)'!BQ10="",0,'초등학교+병설유치원(7월)'!BQ10)</x:f>
        <x:v>0</x:v>
      </x:c>
      <x:c r="J11" s="296" t="n">
        <x:f>SUM(E11:I11)</x:f>
        <x:v>12</x:v>
      </x:c>
      <x:c r="K11" s="291" t="str">
        <x:v>7월</x:v>
      </x:c>
    </x:row>
    <x:row r="12">
      <x:c r="A12" s="291" t="n">
        <x:f>IF('초등학교+병설유치원(7월)'!A10="","",'초등학교+병설유치원(7월)'!A10)</x:f>
        <x:v>2</x:v>
      </x:c>
      <x:c r="B12" s="291" t="str">
        <x:v>초등학교</x:v>
      </x:c>
      <x:c r="C12" s="291" t="str">
        <x:f>IF('초등학교+병설유치원(7월)'!B10="","",'초등학교+병설유치원(7월)'!B10)</x:f>
        <x:v>이리계문초</x:v>
      </x:c>
      <x:c r="D12" s="293" t="n">
        <x:v>46233</x:v>
      </x:c>
      <x:c r="E12" s="294" t="n">
        <x:f>IF('초등학교+병설유치원(7월)'!BS10="",0,'초등학교+병설유치원(7월)'!BS10)</x:f>
        <x:v>12</x:v>
      </x:c>
      <x:c r="F12" s="294" t="n">
        <x:f>IF('초등학교+병설유치원(7월)'!BT10="",0,'초등학교+병설유치원(7월)'!BT10)</x:f>
        <x:v>0</x:v>
      </x:c>
      <x:c r="G12" s="294" t="n">
        <x:f>IF('초등학교+병설유치원(7월)'!BU10="",0,'초등학교+병설유치원(7월)'!BU10)</x:f>
        <x:v>0</x:v>
      </x:c>
      <x:c r="H12" s="294" t="n">
        <x:f>IF('초등학교+병설유치원(7월)'!BV10="",0,'초등학교+병설유치원(7월)'!BV10)</x:f>
        <x:v>0</x:v>
      </x:c>
      <x:c r="I12" s="294" t="n">
        <x:f>IF('초등학교+병설유치원(7월)'!BW10="",0,'초등학교+병설유치원(7월)'!BW10)</x:f>
        <x:v>0</x:v>
      </x:c>
      <x:c r="J12" s="296" t="n">
        <x:f>SUM(E12:I12)</x:f>
        <x:v>12</x:v>
      </x:c>
      <x:c r="K12" s="291" t="str">
        <x:v>7월</x:v>
      </x:c>
    </x:row>
    <x:row r="13">
      <x:c r="A13" s="291" t="n">
        <x:f>IF('초등학교+병설유치원(7월)'!A10="","",'초등학교+병설유치원(7월)'!A10)</x:f>
        <x:v>2</x:v>
      </x:c>
      <x:c r="B13" s="291" t="str">
        <x:v>초등학교</x:v>
      </x:c>
      <x:c r="C13" s="291" t="str">
        <x:f>IF('초등학교+병설유치원(7월)'!B10="","",'초등학교+병설유치원(7월)'!B10)</x:f>
        <x:v>이리계문초</x:v>
      </x:c>
      <x:c r="D13" s="293" t="n">
        <x:v>46234</x:v>
      </x:c>
      <x:c r="E13" s="294" t="n">
        <x:f>IF('초등학교+병설유치원(7월)'!BY10="",0,'초등학교+병설유치원(7월)'!BY10)</x:f>
        <x:v>12</x:v>
      </x:c>
      <x:c r="F13" s="294" t="n">
        <x:f>IF('초등학교+병설유치원(7월)'!BZ10="",0,'초등학교+병설유치원(7월)'!BZ10)</x:f>
        <x:v>0</x:v>
      </x:c>
      <x:c r="G13" s="294" t="n">
        <x:f>IF('초등학교+병설유치원(7월)'!CA10="",0,'초등학교+병설유치원(7월)'!CA10)</x:f>
        <x:v>0</x:v>
      </x:c>
      <x:c r="H13" s="294" t="n">
        <x:f>IF('초등학교+병설유치원(7월)'!CB10="",0,'초등학교+병설유치원(7월)'!CB10)</x:f>
        <x:v>0</x:v>
      </x:c>
      <x:c r="I13" s="294" t="n">
        <x:f>IF('초등학교+병설유치원(7월)'!CC10="",0,'초등학교+병설유치원(7월)'!CC10)</x:f>
        <x:v>0</x:v>
      </x:c>
      <x:c r="J13" s="296" t="n">
        <x:f>SUM(E13:I13)</x:f>
        <x:v>12</x:v>
      </x:c>
      <x:c r="K13" s="291" t="str">
        <x:v>7월</x:v>
      </x:c>
    </x:row>
    <x:row r="14">
      <x:c r="A14" s="291" t="n">
        <x:f>IF('초등학교+병설유치원(7월)'!A11="","",'초등학교+병설유치원(7월)'!A11)</x:f>
        <x:v>3</x:v>
      </x:c>
      <x:c r="B14" s="291" t="str">
        <x:v>초등학교</x:v>
      </x:c>
      <x:c r="C14" s="291" t="str">
        <x:f>IF('초등학교+병설유치원(7월)'!B11="","",'초등학교+병설유치원(7월)'!B11)</x:f>
        <x:v>이리고현초</x:v>
      </x:c>
      <x:c r="D14" s="293" t="n">
        <x:v>46230</x:v>
      </x:c>
      <x:c r="E14" s="294" t="n">
        <x:f>IF('초등학교+병설유치원(7월)'!BA11="",0,'초등학교+병설유치원(7월)'!BA11)</x:f>
        <x:v>14</x:v>
      </x:c>
      <x:c r="F14" s="294" t="n">
        <x:f>IF('초등학교+병설유치원(7월)'!BB11="",0,'초등학교+병설유치원(7월)'!BB11)</x:f>
        <x:v>13</x:v>
      </x:c>
      <x:c r="G14" s="294" t="n">
        <x:f>IF('초등학교+병설유치원(7월)'!BC11="",0,'초등학교+병설유치원(7월)'!BC11)</x:f>
        <x:v>0</x:v>
      </x:c>
      <x:c r="H14" s="294" t="n">
        <x:f>IF('초등학교+병설유치원(7월)'!BD11="",0,'초등학교+병설유치원(7월)'!BD11)</x:f>
        <x:v>0</x:v>
      </x:c>
      <x:c r="I14" s="294" t="n">
        <x:f>IF('초등학교+병설유치원(7월)'!BE11="",0,'초등학교+병설유치원(7월)'!BE11)</x:f>
        <x:v>0</x:v>
      </x:c>
      <x:c r="J14" s="296" t="n">
        <x:f>SUM(E14:I14)</x:f>
        <x:v>27</x:v>
      </x:c>
      <x:c r="K14" s="291" t="str">
        <x:v>7월</x:v>
      </x:c>
    </x:row>
    <x:row r="15">
      <x:c r="A15" s="291" t="n">
        <x:f>IF('초등학교+병설유치원(7월)'!A11="","",'초등학교+병설유치원(7월)'!A11)</x:f>
        <x:v>3</x:v>
      </x:c>
      <x:c r="B15" s="291" t="str">
        <x:v>초등학교</x:v>
      </x:c>
      <x:c r="C15" s="291" t="str">
        <x:f>IF('초등학교+병설유치원(7월)'!B11="","",'초등학교+병설유치원(7월)'!B11)</x:f>
        <x:v>이리고현초</x:v>
      </x:c>
      <x:c r="D15" s="293" t="n">
        <x:v>46231</x:v>
      </x:c>
      <x:c r="E15" s="294" t="n">
        <x:f>IF('초등학교+병설유치원(7월)'!BG11="",0,'초등학교+병설유치원(7월)'!BG11)</x:f>
        <x:v>14</x:v>
      </x:c>
      <x:c r="F15" s="294" t="n">
        <x:f>IF('초등학교+병설유치원(7월)'!BH11="",0,'초등학교+병설유치원(7월)'!BH11)</x:f>
        <x:v>13</x:v>
      </x:c>
      <x:c r="G15" s="294" t="n">
        <x:f>IF('초등학교+병설유치원(7월)'!BI11="",0,'초등학교+병설유치원(7월)'!BI11)</x:f>
        <x:v>0</x:v>
      </x:c>
      <x:c r="H15" s="294" t="n">
        <x:f>IF('초등학교+병설유치원(7월)'!BJ11="",0,'초등학교+병설유치원(7월)'!BJ11)</x:f>
        <x:v>0</x:v>
      </x:c>
      <x:c r="I15" s="294" t="n">
        <x:f>IF('초등학교+병설유치원(7월)'!BK11="",0,'초등학교+병설유치원(7월)'!BK11)</x:f>
        <x:v>0</x:v>
      </x:c>
      <x:c r="J15" s="296" t="n">
        <x:f>SUM(E15:I15)</x:f>
        <x:v>27</x:v>
      </x:c>
      <x:c r="K15" s="291" t="str">
        <x:v>7월</x:v>
      </x:c>
    </x:row>
    <x:row r="16">
      <x:c r="A16" s="291" t="n">
        <x:f>IF('초등학교+병설유치원(7월)'!A12="","",'초등학교+병설유치원(7월)'!A12)</x:f>
        <x:v>4</x:v>
      </x:c>
      <x:c r="B16" s="291" t="str">
        <x:v>초등학교</x:v>
      </x:c>
      <x:c r="C16" s="291" t="str">
        <x:f>IF('초등학교+병설유치원(7월)'!B12="","",'초등학교+병설유치원(7월)'!B12)</x:f>
        <x:v>이리남창초</x:v>
      </x:c>
      <x:c r="D16" s="293" t="n">
        <x:v>46223</x:v>
      </x:c>
      <x:c r="E16" s="294" t="n">
        <x:f>IF('초등학교+병설유치원(7월)'!W12="",0,'초등학교+병설유치원(7월)'!W12)</x:f>
        <x:v>19</x:v>
      </x:c>
      <x:c r="F16" s="294" t="n">
        <x:f>IF('초등학교+병설유치원(7월)'!X12="",0,'초등학교+병설유치원(7월)'!X12)</x:f>
        <x:v>0</x:v>
      </x:c>
      <x:c r="G16" s="294" t="n">
        <x:f>IF('초등학교+병설유치원(7월)'!Y12="",0,'초등학교+병설유치원(7월)'!Y12)</x:f>
        <x:v>0</x:v>
      </x:c>
      <x:c r="H16" s="294" t="n">
        <x:f>IF('초등학교+병설유치원(7월)'!Z12="",0,'초등학교+병설유치원(7월)'!Z12)</x:f>
        <x:v>0</x:v>
      </x:c>
      <x:c r="I16" s="294" t="n">
        <x:f>IF('초등학교+병설유치원(7월)'!AA12="",0,'초등학교+병설유치원(7월)'!AA12)</x:f>
        <x:v>0</x:v>
      </x:c>
      <x:c r="J16" s="296" t="n">
        <x:f>SUM(E16:I16)</x:f>
        <x:v>19</x:v>
      </x:c>
      <x:c r="K16" s="291" t="str">
        <x:v>7월</x:v>
      </x:c>
    </x:row>
    <x:row r="17">
      <x:c r="A17" s="291" t="n">
        <x:f>IF('초등학교+병설유치원(7월)'!A12="","",'초등학교+병설유치원(7월)'!A12)</x:f>
        <x:v>4</x:v>
      </x:c>
      <x:c r="B17" s="291" t="str">
        <x:v>초등학교</x:v>
      </x:c>
      <x:c r="C17" s="291" t="str">
        <x:f>IF('초등학교+병설유치원(7월)'!B12="","",'초등학교+병설유치원(7월)'!B12)</x:f>
        <x:v>이리남창초</x:v>
      </x:c>
      <x:c r="D17" s="293" t="n">
        <x:v>46224</x:v>
      </x:c>
      <x:c r="E17" s="294" t="n">
        <x:f>IF('초등학교+병설유치원(7월)'!AC12="",0,'초등학교+병설유치원(7월)'!AC12)</x:f>
        <x:v>19</x:v>
      </x:c>
      <x:c r="F17" s="294" t="n">
        <x:f>IF('초등학교+병설유치원(7월)'!AD12="",0,'초등학교+병설유치원(7월)'!AD12)</x:f>
        <x:v>0</x:v>
      </x:c>
      <x:c r="G17" s="294" t="n">
        <x:f>IF('초등학교+병설유치원(7월)'!AE12="",0,'초등학교+병설유치원(7월)'!AE12)</x:f>
        <x:v>0</x:v>
      </x:c>
      <x:c r="H17" s="294" t="n">
        <x:f>IF('초등학교+병설유치원(7월)'!AF12="",0,'초등학교+병설유치원(7월)'!AF12)</x:f>
        <x:v>0</x:v>
      </x:c>
      <x:c r="I17" s="294" t="n">
        <x:f>IF('초등학교+병설유치원(7월)'!AG12="",0,'초등학교+병설유치원(7월)'!AG12)</x:f>
        <x:v>0</x:v>
      </x:c>
      <x:c r="J17" s="296" t="n">
        <x:f>SUM(E17:I17)</x:f>
        <x:v>19</x:v>
      </x:c>
      <x:c r="K17" s="291" t="str">
        <x:v>7월</x:v>
      </x:c>
    </x:row>
    <x:row r="18">
      <x:c r="A18" s="291" t="n">
        <x:f>IF('초등학교+병설유치원(7월)'!A12="","",'초등학교+병설유치원(7월)'!A12)</x:f>
        <x:v>4</x:v>
      </x:c>
      <x:c r="B18" s="291" t="str">
        <x:v>초등학교</x:v>
      </x:c>
      <x:c r="C18" s="291" t="str">
        <x:f>IF('초등학교+병설유치원(7월)'!B12="","",'초등학교+병설유치원(7월)'!B12)</x:f>
        <x:v>이리남창초</x:v>
      </x:c>
      <x:c r="D18" s="293" t="n">
        <x:v>46225</x:v>
      </x:c>
      <x:c r="E18" s="294" t="n">
        <x:f>IF('초등학교+병설유치원(7월)'!AI12="",0,'초등학교+병설유치원(7월)'!AI12)</x:f>
        <x:v>19</x:v>
      </x:c>
      <x:c r="F18" s="294" t="n">
        <x:f>IF('초등학교+병설유치원(7월)'!AJ12="",0,'초등학교+병설유치원(7월)'!AJ12)</x:f>
        <x:v>0</x:v>
      </x:c>
      <x:c r="G18" s="294" t="n">
        <x:f>IF('초등학교+병설유치원(7월)'!AK12="",0,'초등학교+병설유치원(7월)'!AK12)</x:f>
        <x:v>0</x:v>
      </x:c>
      <x:c r="H18" s="294" t="n">
        <x:f>IF('초등학교+병설유치원(7월)'!AL12="",0,'초등학교+병설유치원(7월)'!AL12)</x:f>
        <x:v>0</x:v>
      </x:c>
      <x:c r="I18" s="294" t="n">
        <x:f>IF('초등학교+병설유치원(7월)'!AM12="",0,'초등학교+병설유치원(7월)'!AM12)</x:f>
        <x:v>0</x:v>
      </x:c>
      <x:c r="J18" s="296" t="n">
        <x:f>SUM(E18:I18)</x:f>
        <x:v>19</x:v>
      </x:c>
      <x:c r="K18" s="291" t="str">
        <x:v>7월</x:v>
      </x:c>
    </x:row>
    <x:row r="19">
      <x:c r="A19" s="291" t="n">
        <x:f>IF('초등학교+병설유치원(7월)'!A12="","",'초등학교+병설유치원(7월)'!A12)</x:f>
        <x:v>4</x:v>
      </x:c>
      <x:c r="B19" s="291" t="str">
        <x:v>초등학교</x:v>
      </x:c>
      <x:c r="C19" s="291" t="str">
        <x:f>IF('초등학교+병설유치원(7월)'!B12="","",'초등학교+병설유치원(7월)'!B12)</x:f>
        <x:v>이리남창초</x:v>
      </x:c>
      <x:c r="D19" s="293" t="n">
        <x:v>46226</x:v>
      </x:c>
      <x:c r="E19" s="294" t="n">
        <x:f>IF('초등학교+병설유치원(7월)'!AO12="",0,'초등학교+병설유치원(7월)'!AO12)</x:f>
        <x:v>19</x:v>
      </x:c>
      <x:c r="F19" s="294" t="n">
        <x:f>IF('초등학교+병설유치원(7월)'!AP12="",0,'초등학교+병설유치원(7월)'!AP12)</x:f>
        <x:v>0</x:v>
      </x:c>
      <x:c r="G19" s="294" t="n">
        <x:f>IF('초등학교+병설유치원(7월)'!AQ12="",0,'초등학교+병설유치원(7월)'!AQ12)</x:f>
        <x:v>0</x:v>
      </x:c>
      <x:c r="H19" s="294" t="n">
        <x:f>IF('초등학교+병설유치원(7월)'!AR12="",0,'초등학교+병설유치원(7월)'!AR12)</x:f>
        <x:v>0</x:v>
      </x:c>
      <x:c r="I19" s="294" t="n">
        <x:f>IF('초등학교+병설유치원(7월)'!AS12="",0,'초등학교+병설유치원(7월)'!AS12)</x:f>
        <x:v>0</x:v>
      </x:c>
      <x:c r="J19" s="296" t="n">
        <x:f>SUM(E19:I19)</x:f>
        <x:v>19</x:v>
      </x:c>
      <x:c r="K19" s="291" t="str">
        <x:v>7월</x:v>
      </x:c>
    </x:row>
    <x:row r="20">
      <x:c r="A20" s="291" t="n">
        <x:f>IF('초등학교+병설유치원(7월)'!A12="","",'초등학교+병설유치원(7월)'!A12)</x:f>
        <x:v>4</x:v>
      </x:c>
      <x:c r="B20" s="291" t="str">
        <x:v>초등학교</x:v>
      </x:c>
      <x:c r="C20" s="291" t="str">
        <x:f>IF('초등학교+병설유치원(7월)'!B12="","",'초등학교+병설유치원(7월)'!B12)</x:f>
        <x:v>이리남창초</x:v>
      </x:c>
      <x:c r="D20" s="293" t="n">
        <x:v>46227</x:v>
      </x:c>
      <x:c r="E20" s="294" t="n">
        <x:f>IF('초등학교+병설유치원(7월)'!AU12="",0,'초등학교+병설유치원(7월)'!AU12)</x:f>
        <x:v>19</x:v>
      </x:c>
      <x:c r="F20" s="294" t="n">
        <x:f>IF('초등학교+병설유치원(7월)'!AV12="",0,'초등학교+병설유치원(7월)'!AV12)</x:f>
        <x:v>0</x:v>
      </x:c>
      <x:c r="G20" s="294" t="n">
        <x:f>IF('초등학교+병설유치원(7월)'!AW12="",0,'초등학교+병설유치원(7월)'!AW12)</x:f>
        <x:v>0</x:v>
      </x:c>
      <x:c r="H20" s="294" t="n">
        <x:f>IF('초등학교+병설유치원(7월)'!AX12="",0,'초등학교+병설유치원(7월)'!AX12)</x:f>
        <x:v>0</x:v>
      </x:c>
      <x:c r="I20" s="294" t="n">
        <x:f>IF('초등학교+병설유치원(7월)'!AY12="",0,'초등학교+병설유치원(7월)'!AY12)</x:f>
        <x:v>0</x:v>
      </x:c>
      <x:c r="J20" s="296" t="n">
        <x:f>SUM(E20:I20)</x:f>
        <x:v>19</x:v>
      </x:c>
      <x:c r="K20" s="291" t="str">
        <x:v>7월</x:v>
      </x:c>
    </x:row>
    <x:row r="21">
      <x:c r="A21" s="291" t="n">
        <x:f>IF('초등학교+병설유치원(7월)'!A12="","",'초등학교+병설유치원(7월)'!A12)</x:f>
        <x:v>4</x:v>
      </x:c>
      <x:c r="B21" s="291" t="str">
        <x:v>초등학교</x:v>
      </x:c>
      <x:c r="C21" s="291" t="str">
        <x:f>IF('초등학교+병설유치원(7월)'!B12="","",'초등학교+병설유치원(7월)'!B12)</x:f>
        <x:v>이리남창초</x:v>
      </x:c>
      <x:c r="D21" s="293" t="n">
        <x:v>46230</x:v>
      </x:c>
      <x:c r="E21" s="294" t="n">
        <x:f>IF('초등학교+병설유치원(7월)'!BA12="",0,'초등학교+병설유치원(7월)'!BA12)</x:f>
        <x:v>19</x:v>
      </x:c>
      <x:c r="F21" s="294" t="n">
        <x:f>IF('초등학교+병설유치원(7월)'!BB12="",0,'초등학교+병설유치원(7월)'!BB12)</x:f>
        <x:v>0</x:v>
      </x:c>
      <x:c r="G21" s="294" t="n">
        <x:f>IF('초등학교+병설유치원(7월)'!BC12="",0,'초등학교+병설유치원(7월)'!BC12)</x:f>
        <x:v>0</x:v>
      </x:c>
      <x:c r="H21" s="294" t="n">
        <x:f>IF('초등학교+병설유치원(7월)'!BD12="",0,'초등학교+병설유치원(7월)'!BD12)</x:f>
        <x:v>0</x:v>
      </x:c>
      <x:c r="I21" s="294" t="n">
        <x:f>IF('초등학교+병설유치원(7월)'!BE12="",0,'초등학교+병설유치원(7월)'!BE12)</x:f>
        <x:v>0</x:v>
      </x:c>
      <x:c r="J21" s="296" t="n">
        <x:f>SUM(E21:I21)</x:f>
        <x:v>19</x:v>
      </x:c>
      <x:c r="K21" s="291" t="str">
        <x:v>7월</x:v>
      </x:c>
    </x:row>
    <x:row r="22">
      <x:c r="A22" s="291" t="n">
        <x:f>IF('초등학교+병설유치원(7월)'!A12="","",'초등학교+병설유치원(7월)'!A12)</x:f>
        <x:v>4</x:v>
      </x:c>
      <x:c r="B22" s="291" t="str">
        <x:v>초등학교</x:v>
      </x:c>
      <x:c r="C22" s="291" t="str">
        <x:f>IF('초등학교+병설유치원(7월)'!B12="","",'초등학교+병설유치원(7월)'!B12)</x:f>
        <x:v>이리남창초</x:v>
      </x:c>
      <x:c r="D22" s="293" t="n">
        <x:v>46231</x:v>
      </x:c>
      <x:c r="E22" s="294" t="n">
        <x:f>IF('초등학교+병설유치원(7월)'!BG12="",0,'초등학교+병설유치원(7월)'!BG12)</x:f>
        <x:v>19</x:v>
      </x:c>
      <x:c r="F22" s="294" t="n">
        <x:f>IF('초등학교+병설유치원(7월)'!BH12="",0,'초등학교+병설유치원(7월)'!BH12)</x:f>
        <x:v>0</x:v>
      </x:c>
      <x:c r="G22" s="294" t="n">
        <x:f>IF('초등학교+병설유치원(7월)'!BI12="",0,'초등학교+병설유치원(7월)'!BI12)</x:f>
        <x:v>0</x:v>
      </x:c>
      <x:c r="H22" s="294" t="n">
        <x:f>IF('초등학교+병설유치원(7월)'!BJ12="",0,'초등학교+병설유치원(7월)'!BJ12)</x:f>
        <x:v>0</x:v>
      </x:c>
      <x:c r="I22" s="294" t="n">
        <x:f>IF('초등학교+병설유치원(7월)'!BK12="",0,'초등학교+병설유치원(7월)'!BK12)</x:f>
        <x:v>0</x:v>
      </x:c>
      <x:c r="J22" s="296" t="n">
        <x:f>SUM(E22:I22)</x:f>
        <x:v>19</x:v>
      </x:c>
      <x:c r="K22" s="291" t="str">
        <x:v>7월</x:v>
      </x:c>
    </x:row>
    <x:row r="23">
      <x:c r="A23" s="291" t="n">
        <x:f>IF('초등학교+병설유치원(7월)'!A12="","",'초등학교+병설유치원(7월)'!A12)</x:f>
        <x:v>4</x:v>
      </x:c>
      <x:c r="B23" s="291" t="str">
        <x:v>초등학교</x:v>
      </x:c>
      <x:c r="C23" s="291" t="str">
        <x:f>IF('초등학교+병설유치원(7월)'!B12="","",'초등학교+병설유치원(7월)'!B12)</x:f>
        <x:v>이리남창초</x:v>
      </x:c>
      <x:c r="D23" s="293" t="n">
        <x:v>46232</x:v>
      </x:c>
      <x:c r="E23" s="294" t="n">
        <x:f>IF('초등학교+병설유치원(7월)'!BM12="",0,'초등학교+병설유치원(7월)'!BM12)</x:f>
        <x:v>19</x:v>
      </x:c>
      <x:c r="F23" s="294" t="n">
        <x:f>IF('초등학교+병설유치원(7월)'!BN12="",0,'초등학교+병설유치원(7월)'!BN12)</x:f>
        <x:v>0</x:v>
      </x:c>
      <x:c r="G23" s="294" t="n">
        <x:f>IF('초등학교+병설유치원(7월)'!BO12="",0,'초등학교+병설유치원(7월)'!BO12)</x:f>
        <x:v>0</x:v>
      </x:c>
      <x:c r="H23" s="294" t="n">
        <x:f>IF('초등학교+병설유치원(7월)'!BP12="",0,'초등학교+병설유치원(7월)'!BP12)</x:f>
        <x:v>0</x:v>
      </x:c>
      <x:c r="I23" s="294" t="n">
        <x:f>IF('초등학교+병설유치원(7월)'!BQ12="",0,'초등학교+병설유치원(7월)'!BQ12)</x:f>
        <x:v>0</x:v>
      </x:c>
      <x:c r="J23" s="296" t="n">
        <x:f>SUM(E23:I23)</x:f>
        <x:v>19</x:v>
      </x:c>
      <x:c r="K23" s="291" t="str">
        <x:v>7월</x:v>
      </x:c>
    </x:row>
    <x:row r="24">
      <x:c r="A24" s="291" t="n">
        <x:f>IF('초등학교+병설유치원(7월)'!A12="","",'초등학교+병설유치원(7월)'!A12)</x:f>
        <x:v>4</x:v>
      </x:c>
      <x:c r="B24" s="291" t="str">
        <x:v>초등학교</x:v>
      </x:c>
      <x:c r="C24" s="291" t="str">
        <x:f>IF('초등학교+병설유치원(7월)'!B12="","",'초등학교+병설유치원(7월)'!B12)</x:f>
        <x:v>이리남창초</x:v>
      </x:c>
      <x:c r="D24" s="293" t="n">
        <x:v>46233</x:v>
      </x:c>
      <x:c r="E24" s="294" t="n">
        <x:f>IF('초등학교+병설유치원(7월)'!BS12="",0,'초등학교+병설유치원(7월)'!BS12)</x:f>
        <x:v>19</x:v>
      </x:c>
      <x:c r="F24" s="294" t="n">
        <x:f>IF('초등학교+병설유치원(7월)'!BT12="",0,'초등학교+병설유치원(7월)'!BT12)</x:f>
        <x:v>0</x:v>
      </x:c>
      <x:c r="G24" s="294" t="n">
        <x:f>IF('초등학교+병설유치원(7월)'!BU12="",0,'초등학교+병설유치원(7월)'!BU12)</x:f>
        <x:v>0</x:v>
      </x:c>
      <x:c r="H24" s="294" t="n">
        <x:f>IF('초등학교+병설유치원(7월)'!BV12="",0,'초등학교+병설유치원(7월)'!BV12)</x:f>
        <x:v>0</x:v>
      </x:c>
      <x:c r="I24" s="294" t="n">
        <x:f>IF('초등학교+병설유치원(7월)'!BW12="",0,'초등학교+병설유치원(7월)'!BW12)</x:f>
        <x:v>0</x:v>
      </x:c>
      <x:c r="J24" s="296" t="n">
        <x:f>SUM(E24:I24)</x:f>
        <x:v>19</x:v>
      </x:c>
      <x:c r="K24" s="291" t="str">
        <x:v>7월</x:v>
      </x:c>
    </x:row>
    <x:row r="25">
      <x:c r="A25" s="291" t="n">
        <x:f>IF('초등학교+병설유치원(7월)'!A12="","",'초등학교+병설유치원(7월)'!A12)</x:f>
        <x:v>4</x:v>
      </x:c>
      <x:c r="B25" s="291" t="str">
        <x:v>초등학교</x:v>
      </x:c>
      <x:c r="C25" s="291" t="str">
        <x:f>IF('초등학교+병설유치원(7월)'!B12="","",'초등학교+병설유치원(7월)'!B12)</x:f>
        <x:v>이리남창초</x:v>
      </x:c>
      <x:c r="D25" s="293" t="n">
        <x:v>46234</x:v>
      </x:c>
      <x:c r="E25" s="294" t="n">
        <x:f>IF('초등학교+병설유치원(7월)'!BY12="",0,'초등학교+병설유치원(7월)'!BY12)</x:f>
        <x:v>19</x:v>
      </x:c>
      <x:c r="F25" s="294" t="n">
        <x:f>IF('초등학교+병설유치원(7월)'!BZ12="",0,'초등학교+병설유치원(7월)'!BZ12)</x:f>
        <x:v>0</x:v>
      </x:c>
      <x:c r="G25" s="294" t="n">
        <x:f>IF('초등학교+병설유치원(7월)'!CA12="",0,'초등학교+병설유치원(7월)'!CA12)</x:f>
        <x:v>0</x:v>
      </x:c>
      <x:c r="H25" s="294" t="n">
        <x:f>IF('초등학교+병설유치원(7월)'!CB12="",0,'초등학교+병설유치원(7월)'!CB12)</x:f>
        <x:v>0</x:v>
      </x:c>
      <x:c r="I25" s="294" t="n">
        <x:f>IF('초등학교+병설유치원(7월)'!CC12="",0,'초등학교+병설유치원(7월)'!CC12)</x:f>
        <x:v>0</x:v>
      </x:c>
      <x:c r="J25" s="296" t="n">
        <x:f>SUM(E25:I25)</x:f>
        <x:v>19</x:v>
      </x:c>
      <x:c r="K25" s="291" t="str">
        <x:v>7월</x:v>
      </x:c>
    </x:row>
    <x:row r="26">
      <x:c r="A26" s="291" t="n">
        <x:f>IF('초등학교+병설유치원(7월)'!A13="","",'초등학교+병설유치원(7월)'!A13)</x:f>
        <x:v>5</x:v>
      </x:c>
      <x:c r="B26" s="291" t="str">
        <x:v>초등학교</x:v>
      </x:c>
      <x:c r="C26" s="291" t="str">
        <x:f>IF('초등학교+병설유치원(7월)'!B13="","",'초등학교+병설유치원(7월)'!B13)</x:f>
        <x:v>이리남초</x:v>
      </x:c>
      <x:c r="D26" s="293" t="n">
        <x:v>46231</x:v>
      </x:c>
      <x:c r="E26" s="294" t="n">
        <x:f>IF('초등학교+병설유치원(7월)'!BG13="",0,'초등학교+병설유치원(7월)'!BG13)</x:f>
        <x:v>16</x:v>
      </x:c>
      <x:c r="F26" s="294" t="n">
        <x:f>IF('초등학교+병설유치원(7월)'!BH13="",0,'초등학교+병설유치원(7월)'!BH13)</x:f>
        <x:v>0</x:v>
      </x:c>
      <x:c r="G26" s="294" t="n">
        <x:f>IF('초등학교+병설유치원(7월)'!BI13="",0,'초등학교+병설유치원(7월)'!BI13)</x:f>
        <x:v>0</x:v>
      </x:c>
      <x:c r="H26" s="294" t="n">
        <x:f>IF('초등학교+병설유치원(7월)'!BJ13="",0,'초등학교+병설유치원(7월)'!BJ13)</x:f>
        <x:v>0</x:v>
      </x:c>
      <x:c r="I26" s="294" t="n">
        <x:f>IF('초등학교+병설유치원(7월)'!BK13="",0,'초등학교+병설유치원(7월)'!BK13)</x:f>
        <x:v>0</x:v>
      </x:c>
      <x:c r="J26" s="296" t="n">
        <x:f>SUM(E26:I26)</x:f>
        <x:v>16</x:v>
      </x:c>
      <x:c r="K26" s="291" t="str">
        <x:v>7월</x:v>
      </x:c>
    </x:row>
    <x:row r="27">
      <x:c r="A27" s="291" t="n">
        <x:f>IF('초등학교+병설유치원(7월)'!A13="","",'초등학교+병설유치원(7월)'!A13)</x:f>
        <x:v>5</x:v>
      </x:c>
      <x:c r="B27" s="291" t="str">
        <x:v>초등학교</x:v>
      </x:c>
      <x:c r="C27" s="291" t="str">
        <x:f>IF('초등학교+병설유치원(7월)'!B13="","",'초등학교+병설유치원(7월)'!B13)</x:f>
        <x:v>이리남초</x:v>
      </x:c>
      <x:c r="D27" s="293" t="n">
        <x:v>46232</x:v>
      </x:c>
      <x:c r="E27" s="294" t="n">
        <x:f>IF('초등학교+병설유치원(7월)'!BM13="",0,'초등학교+병설유치원(7월)'!BM13)</x:f>
        <x:v>16</x:v>
      </x:c>
      <x:c r="F27" s="294" t="n">
        <x:f>IF('초등학교+병설유치원(7월)'!BN13="",0,'초등학교+병설유치원(7월)'!BN13)</x:f>
        <x:v>0</x:v>
      </x:c>
      <x:c r="G27" s="294" t="n">
        <x:f>IF('초등학교+병설유치원(7월)'!BO13="",0,'초등학교+병설유치원(7월)'!BO13)</x:f>
        <x:v>0</x:v>
      </x:c>
      <x:c r="H27" s="294" t="n">
        <x:f>IF('초등학교+병설유치원(7월)'!BP13="",0,'초등학교+병설유치원(7월)'!BP13)</x:f>
        <x:v>0</x:v>
      </x:c>
      <x:c r="I27" s="294" t="n">
        <x:f>IF('초등학교+병설유치원(7월)'!BQ13="",0,'초등학교+병설유치원(7월)'!BQ13)</x:f>
        <x:v>0</x:v>
      </x:c>
      <x:c r="J27" s="296" t="n">
        <x:f>SUM(E27:I27)</x:f>
        <x:v>16</x:v>
      </x:c>
      <x:c r="K27" s="291" t="str">
        <x:v>7월</x:v>
      </x:c>
    </x:row>
    <x:row r="28">
      <x:c r="A28" s="291" t="n">
        <x:f>IF('초등학교+병설유치원(7월)'!A13="","",'초등학교+병설유치원(7월)'!A13)</x:f>
        <x:v>5</x:v>
      </x:c>
      <x:c r="B28" s="291" t="str">
        <x:v>초등학교</x:v>
      </x:c>
      <x:c r="C28" s="291" t="str">
        <x:f>IF('초등학교+병설유치원(7월)'!B13="","",'초등학교+병설유치원(7월)'!B13)</x:f>
        <x:v>이리남초</x:v>
      </x:c>
      <x:c r="D28" s="293" t="n">
        <x:v>46233</x:v>
      </x:c>
      <x:c r="E28" s="294" t="n">
        <x:f>IF('초등학교+병설유치원(7월)'!BS13="",0,'초등학교+병설유치원(7월)'!BS13)</x:f>
        <x:v>16</x:v>
      </x:c>
      <x:c r="F28" s="294" t="n">
        <x:f>IF('초등학교+병설유치원(7월)'!BT13="",0,'초등학교+병설유치원(7월)'!BT13)</x:f>
        <x:v>0</x:v>
      </x:c>
      <x:c r="G28" s="294" t="n">
        <x:f>IF('초등학교+병설유치원(7월)'!BU13="",0,'초등학교+병설유치원(7월)'!BU13)</x:f>
        <x:v>0</x:v>
      </x:c>
      <x:c r="H28" s="294" t="n">
        <x:f>IF('초등학교+병설유치원(7월)'!BV13="",0,'초등학교+병설유치원(7월)'!BV13)</x:f>
        <x:v>0</x:v>
      </x:c>
      <x:c r="I28" s="294" t="n">
        <x:f>IF('초등학교+병설유치원(7월)'!BW13="",0,'초등학교+병설유치원(7월)'!BW13)</x:f>
        <x:v>0</x:v>
      </x:c>
      <x:c r="J28" s="296" t="n">
        <x:f>SUM(E28:I28)</x:f>
        <x:v>16</x:v>
      </x:c>
      <x:c r="K28" s="291" t="str">
        <x:v>7월</x:v>
      </x:c>
    </x:row>
    <x:row r="29">
      <x:c r="A29" s="291" t="n">
        <x:f>IF('초등학교+병설유치원(7월)'!A13="","",'초등학교+병설유치원(7월)'!A13)</x:f>
        <x:v>5</x:v>
      </x:c>
      <x:c r="B29" s="291" t="str">
        <x:v>초등학교</x:v>
      </x:c>
      <x:c r="C29" s="291" t="str">
        <x:f>IF('초등학교+병설유치원(7월)'!B13="","",'초등학교+병설유치원(7월)'!B13)</x:f>
        <x:v>이리남초</x:v>
      </x:c>
      <x:c r="D29" s="293" t="n">
        <x:v>46234</x:v>
      </x:c>
      <x:c r="E29" s="294" t="n">
        <x:f>IF('초등학교+병설유치원(7월)'!BY13="",0,'초등학교+병설유치원(7월)'!BY13)</x:f>
        <x:v>16</x:v>
      </x:c>
      <x:c r="F29" s="294" t="n">
        <x:f>IF('초등학교+병설유치원(7월)'!BZ13="",0,'초등학교+병설유치원(7월)'!BZ13)</x:f>
        <x:v>0</x:v>
      </x:c>
      <x:c r="G29" s="294" t="n">
        <x:f>IF('초등학교+병설유치원(7월)'!CA13="",0,'초등학교+병설유치원(7월)'!CA13)</x:f>
        <x:v>0</x:v>
      </x:c>
      <x:c r="H29" s="294" t="n">
        <x:f>IF('초등학교+병설유치원(7월)'!CB13="",0,'초등학교+병설유치원(7월)'!CB13)</x:f>
        <x:v>0</x:v>
      </x:c>
      <x:c r="I29" s="294" t="n">
        <x:f>IF('초등학교+병설유치원(7월)'!CC13="",0,'초등학교+병설유치원(7월)'!CC13)</x:f>
        <x:v>0</x:v>
      </x:c>
      <x:c r="J29" s="296" t="n">
        <x:f>SUM(E29:I29)</x:f>
        <x:v>16</x:v>
      </x:c>
      <x:c r="K29" s="291" t="str">
        <x:v>7월</x:v>
      </x:c>
    </x:row>
    <x:row r="30">
      <x:c r="A30" s="291" t="n">
        <x:f>IF('초등학교+병설유치원(7월)'!A14="","",'초등학교+병설유치원(7월)'!A14)</x:f>
        <x:v>6</x:v>
      </x:c>
      <x:c r="B30" s="291" t="str">
        <x:v>초등학교</x:v>
      </x:c>
      <x:c r="C30" s="291" t="str">
        <x:f>IF('초등학교+병설유치원(7월)'!B14="","",'초등학교+병설유치원(7월)'!B14)</x:f>
        <x:v>이리동남초</x:v>
      </x:c>
      <x:c r="D30" s="293" t="n">
        <x:v>46230</x:v>
      </x:c>
      <x:c r="E30" s="294" t="n">
        <x:f>IF('초등학교+병설유치원(7월)'!BA14="",0,'초등학교+병설유치원(7월)'!BA14)</x:f>
        <x:v>18</x:v>
      </x:c>
      <x:c r="F30" s="294" t="n">
        <x:f>IF('초등학교+병설유치원(7월)'!BB14="",0,'초등학교+병설유치원(7월)'!BB14)</x:f>
        <x:v>17</x:v>
      </x:c>
      <x:c r="G30" s="294" t="n">
        <x:f>IF('초등학교+병설유치원(7월)'!BC14="",0,'초등학교+병설유치원(7월)'!BC14)</x:f>
        <x:v>0</x:v>
      </x:c>
      <x:c r="H30" s="294" t="n">
        <x:f>IF('초등학교+병설유치원(7월)'!BD14="",0,'초등학교+병설유치원(7월)'!BD14)</x:f>
        <x:v>0</x:v>
      </x:c>
      <x:c r="I30" s="294" t="n">
        <x:f>IF('초등학교+병설유치원(7월)'!BE14="",0,'초등학교+병설유치원(7월)'!BE14)</x:f>
        <x:v>14</x:v>
      </x:c>
      <x:c r="J30" s="296" t="n">
        <x:f>SUM(E30:I30)</x:f>
        <x:v>49</x:v>
      </x:c>
      <x:c r="K30" s="291" t="str">
        <x:v>7월</x:v>
      </x:c>
    </x:row>
    <x:row r="31">
      <x:c r="A31" s="291" t="n">
        <x:f>IF('초등학교+병설유치원(7월)'!A14="","",'초등학교+병설유치원(7월)'!A14)</x:f>
        <x:v>6</x:v>
      </x:c>
      <x:c r="B31" s="291" t="str">
        <x:v>초등학교</x:v>
      </x:c>
      <x:c r="C31" s="291" t="str">
        <x:f>IF('초등학교+병설유치원(7월)'!B14="","",'초등학교+병설유치원(7월)'!B14)</x:f>
        <x:v>이리동남초</x:v>
      </x:c>
      <x:c r="D31" s="293" t="n">
        <x:v>46231</x:v>
      </x:c>
      <x:c r="E31" s="294" t="n">
        <x:f>IF('초등학교+병설유치원(7월)'!BG14="",0,'초등학교+병설유치원(7월)'!BG14)</x:f>
        <x:v>18</x:v>
      </x:c>
      <x:c r="F31" s="294" t="n">
        <x:f>IF('초등학교+병설유치원(7월)'!BH14="",0,'초등학교+병설유치원(7월)'!BH14)</x:f>
        <x:v>17</x:v>
      </x:c>
      <x:c r="G31" s="294" t="n">
        <x:f>IF('초등학교+병설유치원(7월)'!BI14="",0,'초등학교+병설유치원(7월)'!BI14)</x:f>
        <x:v>0</x:v>
      </x:c>
      <x:c r="H31" s="294" t="n">
        <x:f>IF('초등학교+병설유치원(7월)'!BJ14="",0,'초등학교+병설유치원(7월)'!BJ14)</x:f>
        <x:v>0</x:v>
      </x:c>
      <x:c r="I31" s="294" t="n">
        <x:f>IF('초등학교+병설유치원(7월)'!BK14="",0,'초등학교+병설유치원(7월)'!BK14)</x:f>
        <x:v>14</x:v>
      </x:c>
      <x:c r="J31" s="296" t="n">
        <x:f>SUM(E31:I31)</x:f>
        <x:v>49</x:v>
      </x:c>
      <x:c r="K31" s="291" t="str">
        <x:v>7월</x:v>
      </x:c>
    </x:row>
    <x:row r="32">
      <x:c r="A32" s="291" t="str">
        <x:f>IF('초등학교+병설유치원(7월)'!A15="","",'초등학교+병설유치원(7월)'!A15)</x:f>
        <x:v>6-1</x:v>
      </x:c>
      <x:c r="B32" s="291" t="str">
        <x:v>병설유치원</x:v>
      </x:c>
      <x:c r="C32" s="291" t="str">
        <x:f>IF('초등학교+병설유치원(7월)'!B15="","",'초등학교+병설유치원(7월)'!B15)</x:f>
        <x:v>이리동남초 병설유치원</x:v>
      </x:c>
      <x:c r="D32" s="293" t="n">
        <x:v>46227</x:v>
      </x:c>
      <x:c r="E32" s="294" t="n">
        <x:f>IF('초등학교+병설유치원(7월)'!AU15="",0,'초등학교+병설유치원(7월)'!AU15)</x:f>
        <x:v>10</x:v>
      </x:c>
      <x:c r="F32" s="294" t="n">
        <x:f>IF('초등학교+병설유치원(7월)'!AV15="",0,'초등학교+병설유치원(7월)'!AV15)</x:f>
        <x:v>0</x:v>
      </x:c>
      <x:c r="G32" s="294" t="n">
        <x:f>IF('초등학교+병설유치원(7월)'!AW15="",0,'초등학교+병설유치원(7월)'!AW15)</x:f>
        <x:v>0</x:v>
      </x:c>
      <x:c r="H32" s="294" t="n">
        <x:f>IF('초등학교+병설유치원(7월)'!AX15="",0,'초등학교+병설유치원(7월)'!AX15)</x:f>
        <x:v>0</x:v>
      </x:c>
      <x:c r="I32" s="294" t="n">
        <x:f>IF('초등학교+병설유치원(7월)'!AY15="",0,'초등학교+병설유치원(7월)'!AY15)</x:f>
        <x:v>0</x:v>
      </x:c>
      <x:c r="J32" s="296" t="n">
        <x:f>SUM(E32:I32)</x:f>
        <x:v>10</x:v>
      </x:c>
      <x:c r="K32" s="291" t="str">
        <x:v>7월</x:v>
      </x:c>
    </x:row>
    <x:row r="33">
      <x:c r="A33" s="291" t="str">
        <x:f>IF('초등학교+병설유치원(7월)'!A15="","",'초등학교+병설유치원(7월)'!A15)</x:f>
        <x:v>6-1</x:v>
      </x:c>
      <x:c r="B33" s="291" t="str">
        <x:v>병설유치원</x:v>
      </x:c>
      <x:c r="C33" s="291" t="str">
        <x:f>IF('초등학교+병설유치원(7월)'!B15="","",'초등학교+병설유치원(7월)'!B15)</x:f>
        <x:v>이리동남초 병설유치원</x:v>
      </x:c>
      <x:c r="D33" s="293" t="n">
        <x:v>46230</x:v>
      </x:c>
      <x:c r="E33" s="294" t="n">
        <x:f>IF('초등학교+병설유치원(7월)'!BA15="",0,'초등학교+병설유치원(7월)'!BA15)</x:f>
        <x:v>9</x:v>
      </x:c>
      <x:c r="F33" s="294" t="n">
        <x:f>IF('초등학교+병설유치원(7월)'!BB15="",0,'초등학교+병설유치원(7월)'!BB15)</x:f>
        <x:v>0</x:v>
      </x:c>
      <x:c r="G33" s="294" t="n">
        <x:f>IF('초등학교+병설유치원(7월)'!BC15="",0,'초등학교+병설유치원(7월)'!BC15)</x:f>
        <x:v>0</x:v>
      </x:c>
      <x:c r="H33" s="294" t="n">
        <x:f>IF('초등학교+병설유치원(7월)'!BD15="",0,'초등학교+병설유치원(7월)'!BD15)</x:f>
        <x:v>0</x:v>
      </x:c>
      <x:c r="I33" s="294" t="n">
        <x:f>IF('초등학교+병설유치원(7월)'!BE15="",0,'초등학교+병설유치원(7월)'!BE15)</x:f>
        <x:v>0</x:v>
      </x:c>
      <x:c r="J33" s="296" t="n">
        <x:f>SUM(E33:I33)</x:f>
        <x:v>9</x:v>
      </x:c>
      <x:c r="K33" s="291" t="str">
        <x:v>7월</x:v>
      </x:c>
    </x:row>
    <x:row r="34">
      <x:c r="A34" s="291" t="str">
        <x:f>IF('초등학교+병설유치원(7월)'!A15="","",'초등학교+병설유치원(7월)'!A15)</x:f>
        <x:v>6-1</x:v>
      </x:c>
      <x:c r="B34" s="291" t="str">
        <x:v>병설유치원</x:v>
      </x:c>
      <x:c r="C34" s="291" t="str">
        <x:f>IF('초등학교+병설유치원(7월)'!B15="","",'초등학교+병설유치원(7월)'!B15)</x:f>
        <x:v>이리동남초 병설유치원</x:v>
      </x:c>
      <x:c r="D34" s="293" t="n">
        <x:v>46231</x:v>
      </x:c>
      <x:c r="E34" s="294" t="n">
        <x:f>IF('초등학교+병설유치원(7월)'!BG15="",0,'초등학교+병설유치원(7월)'!BG15)</x:f>
        <x:v>9</x:v>
      </x:c>
      <x:c r="F34" s="294" t="n">
        <x:f>IF('초등학교+병설유치원(7월)'!BH15="",0,'초등학교+병설유치원(7월)'!BH15)</x:f>
        <x:v>0</x:v>
      </x:c>
      <x:c r="G34" s="294" t="n">
        <x:f>IF('초등학교+병설유치원(7월)'!BI15="",0,'초등학교+병설유치원(7월)'!BI15)</x:f>
        <x:v>0</x:v>
      </x:c>
      <x:c r="H34" s="294" t="n">
        <x:f>IF('초등학교+병설유치원(7월)'!BJ15="",0,'초등학교+병설유치원(7월)'!BJ15)</x:f>
        <x:v>0</x:v>
      </x:c>
      <x:c r="I34" s="294" t="n">
        <x:f>IF('초등학교+병설유치원(7월)'!BK15="",0,'초등학교+병설유치원(7월)'!BK15)</x:f>
        <x:v>0</x:v>
      </x:c>
      <x:c r="J34" s="296" t="n">
        <x:f>SUM(E34:I34)</x:f>
        <x:v>9</x:v>
      </x:c>
      <x:c r="K34" s="291" t="str">
        <x:v>7월</x:v>
      </x:c>
    </x:row>
    <x:row r="35">
      <x:c r="A35" s="291" t="str">
        <x:f>IF('초등학교+병설유치원(7월)'!A15="","",'초등학교+병설유치원(7월)'!A15)</x:f>
        <x:v>6-1</x:v>
      </x:c>
      <x:c r="B35" s="291" t="str">
        <x:v>병설유치원</x:v>
      </x:c>
      <x:c r="C35" s="291" t="str">
        <x:f>IF('초등학교+병설유치원(7월)'!B15="","",'초등학교+병설유치원(7월)'!B15)</x:f>
        <x:v>이리동남초 병설유치원</x:v>
      </x:c>
      <x:c r="D35" s="293" t="n">
        <x:v>46232</x:v>
      </x:c>
      <x:c r="E35" s="294" t="n">
        <x:f>IF('초등학교+병설유치원(7월)'!BM15="",0,'초등학교+병설유치원(7월)'!BM15)</x:f>
        <x:v>10</x:v>
      </x:c>
      <x:c r="F35" s="294" t="n">
        <x:f>IF('초등학교+병설유치원(7월)'!BN15="",0,'초등학교+병설유치원(7월)'!BN15)</x:f>
        <x:v>0</x:v>
      </x:c>
      <x:c r="G35" s="294" t="n">
        <x:f>IF('초등학교+병설유치원(7월)'!BO15="",0,'초등학교+병설유치원(7월)'!BO15)</x:f>
        <x:v>0</x:v>
      </x:c>
      <x:c r="H35" s="294" t="n">
        <x:f>IF('초등학교+병설유치원(7월)'!BP15="",0,'초등학교+병설유치원(7월)'!BP15)</x:f>
        <x:v>0</x:v>
      </x:c>
      <x:c r="I35" s="294" t="n">
        <x:f>IF('초등학교+병설유치원(7월)'!BQ15="",0,'초등학교+병설유치원(7월)'!BQ15)</x:f>
        <x:v>0</x:v>
      </x:c>
      <x:c r="J35" s="296" t="n">
        <x:f>SUM(E35:I35)</x:f>
        <x:v>10</x:v>
      </x:c>
      <x:c r="K35" s="291" t="str">
        <x:v>7월</x:v>
      </x:c>
    </x:row>
    <x:row r="36">
      <x:c r="A36" s="291" t="str">
        <x:f>IF('초등학교+병설유치원(7월)'!A15="","",'초등학교+병설유치원(7월)'!A15)</x:f>
        <x:v>6-1</x:v>
      </x:c>
      <x:c r="B36" s="291" t="str">
        <x:v>병설유치원</x:v>
      </x:c>
      <x:c r="C36" s="291" t="str">
        <x:f>IF('초등학교+병설유치원(7월)'!B15="","",'초등학교+병설유치원(7월)'!B15)</x:f>
        <x:v>이리동남초 병설유치원</x:v>
      </x:c>
      <x:c r="D36" s="293" t="n">
        <x:v>46233</x:v>
      </x:c>
      <x:c r="E36" s="294" t="n">
        <x:f>IF('초등학교+병설유치원(7월)'!BS15="",0,'초등학교+병설유치원(7월)'!BS15)</x:f>
        <x:v>10</x:v>
      </x:c>
      <x:c r="F36" s="294" t="n">
        <x:f>IF('초등학교+병설유치원(7월)'!BT15="",0,'초등학교+병설유치원(7월)'!BT15)</x:f>
        <x:v>0</x:v>
      </x:c>
      <x:c r="G36" s="294" t="n">
        <x:f>IF('초등학교+병설유치원(7월)'!BU15="",0,'초등학교+병설유치원(7월)'!BU15)</x:f>
        <x:v>0</x:v>
      </x:c>
      <x:c r="H36" s="294" t="n">
        <x:f>IF('초등학교+병설유치원(7월)'!BV15="",0,'초등학교+병설유치원(7월)'!BV15)</x:f>
        <x:v>0</x:v>
      </x:c>
      <x:c r="I36" s="294" t="n">
        <x:f>IF('초등학교+병설유치원(7월)'!BW15="",0,'초등학교+병설유치원(7월)'!BW15)</x:f>
        <x:v>0</x:v>
      </x:c>
      <x:c r="J36" s="296" t="n">
        <x:f>SUM(E36:I36)</x:f>
        <x:v>10</x:v>
      </x:c>
      <x:c r="K36" s="291" t="str">
        <x:v>7월</x:v>
      </x:c>
    </x:row>
    <x:row r="37">
      <x:c r="A37" s="291" t="str">
        <x:f>IF('초등학교+병설유치원(7월)'!A15="","",'초등학교+병설유치원(7월)'!A15)</x:f>
        <x:v>6-1</x:v>
      </x:c>
      <x:c r="B37" s="291" t="str">
        <x:v>병설유치원</x:v>
      </x:c>
      <x:c r="C37" s="291" t="str">
        <x:f>IF('초등학교+병설유치원(7월)'!B15="","",'초등학교+병설유치원(7월)'!B15)</x:f>
        <x:v>이리동남초 병설유치원</x:v>
      </x:c>
      <x:c r="D37" s="293" t="n">
        <x:v>46234</x:v>
      </x:c>
      <x:c r="E37" s="294" t="n">
        <x:f>IF('초등학교+병설유치원(7월)'!BY15="",0,'초등학교+병설유치원(7월)'!BY15)</x:f>
        <x:v>10</x:v>
      </x:c>
      <x:c r="F37" s="294" t="n">
        <x:f>IF('초등학교+병설유치원(7월)'!BZ15="",0,'초등학교+병설유치원(7월)'!BZ15)</x:f>
        <x:v>0</x:v>
      </x:c>
      <x:c r="G37" s="294" t="n">
        <x:f>IF('초등학교+병설유치원(7월)'!CA15="",0,'초등학교+병설유치원(7월)'!CA15)</x:f>
        <x:v>0</x:v>
      </x:c>
      <x:c r="H37" s="294" t="n">
        <x:f>IF('초등학교+병설유치원(7월)'!CB15="",0,'초등학교+병설유치원(7월)'!CB15)</x:f>
        <x:v>0</x:v>
      </x:c>
      <x:c r="I37" s="294" t="n">
        <x:f>IF('초등학교+병설유치원(7월)'!CC15="",0,'초등학교+병설유치원(7월)'!CC15)</x:f>
        <x:v>0</x:v>
      </x:c>
      <x:c r="J37" s="296" t="n">
        <x:f>SUM(E37:I37)</x:f>
        <x:v>10</x:v>
      </x:c>
      <x:c r="K37" s="291" t="str">
        <x:v>7월</x:v>
      </x:c>
    </x:row>
    <x:row r="38">
      <x:c r="A38" s="291" t="n">
        <x:f>IF('초등학교+병설유치원(7월)'!A16="","",'초등학교+병설유치원(7월)'!A16)</x:f>
        <x:v>7</x:v>
      </x:c>
      <x:c r="B38" s="291" t="str">
        <x:v>초등학교</x:v>
      </x:c>
      <x:c r="C38" s="291" t="str">
        <x:f>IF('초등학교+병설유치원(7월)'!B16="","",'초등학교+병설유치원(7월)'!B16)</x:f>
        <x:v>이리동북초</x:v>
      </x:c>
      <x:c r="D38" s="293" t="n">
        <x:v>46232</x:v>
      </x:c>
      <x:c r="E38" s="294" t="n">
        <x:f>IF('초등학교+병설유치원(7월)'!BM16="",0,'초등학교+병설유치원(7월)'!BM16)</x:f>
        <x:v>23</x:v>
      </x:c>
      <x:c r="F38" s="294" t="n">
        <x:f>IF('초등학교+병설유치원(7월)'!BN16="",0,'초등학교+병설유치원(7월)'!BN16)</x:f>
        <x:v>0</x:v>
      </x:c>
      <x:c r="G38" s="294" t="n">
        <x:f>IF('초등학교+병설유치원(7월)'!BO16="",0,'초등학교+병설유치원(7월)'!BO16)</x:f>
        <x:v>0</x:v>
      </x:c>
      <x:c r="H38" s="294" t="n">
        <x:f>IF('초등학교+병설유치원(7월)'!BP16="",0,'초등학교+병설유치원(7월)'!BP16)</x:f>
        <x:v>0</x:v>
      </x:c>
      <x:c r="I38" s="294" t="n">
        <x:f>IF('초등학교+병설유치원(7월)'!BQ16="",0,'초등학교+병설유치원(7월)'!BQ16)</x:f>
        <x:v>0</x:v>
      </x:c>
      <x:c r="J38" s="296" t="n">
        <x:f>SUM(E38:I38)</x:f>
        <x:v>23</x:v>
      </x:c>
      <x:c r="K38" s="291" t="str">
        <x:v>7월</x:v>
      </x:c>
    </x:row>
    <x:row r="39">
      <x:c r="A39" s="291" t="n">
        <x:f>IF('초등학교+병설유치원(7월)'!A16="","",'초등학교+병설유치원(7월)'!A16)</x:f>
        <x:v>7</x:v>
      </x:c>
      <x:c r="B39" s="291" t="str">
        <x:v>초등학교</x:v>
      </x:c>
      <x:c r="C39" s="291" t="str">
        <x:f>IF('초등학교+병설유치원(7월)'!B16="","",'초등학교+병설유치원(7월)'!B16)</x:f>
        <x:v>이리동북초</x:v>
      </x:c>
      <x:c r="D39" s="293" t="n">
        <x:v>46233</x:v>
      </x:c>
      <x:c r="E39" s="294" t="n">
        <x:f>IF('초등학교+병설유치원(7월)'!BS16="",0,'초등학교+병설유치원(7월)'!BS16)</x:f>
        <x:v>23</x:v>
      </x:c>
      <x:c r="F39" s="294" t="n">
        <x:f>IF('초등학교+병설유치원(7월)'!BT16="",0,'초등학교+병설유치원(7월)'!BT16)</x:f>
        <x:v>0</x:v>
      </x:c>
      <x:c r="G39" s="294" t="n">
        <x:f>IF('초등학교+병설유치원(7월)'!BU16="",0,'초등학교+병설유치원(7월)'!BU16)</x:f>
        <x:v>0</x:v>
      </x:c>
      <x:c r="H39" s="294" t="n">
        <x:f>IF('초등학교+병설유치원(7월)'!BV16="",0,'초등학교+병설유치원(7월)'!BV16)</x:f>
        <x:v>0</x:v>
      </x:c>
      <x:c r="I39" s="294" t="n">
        <x:f>IF('초등학교+병설유치원(7월)'!BW16="",0,'초등학교+병설유치원(7월)'!BW16)</x:f>
        <x:v>0</x:v>
      </x:c>
      <x:c r="J39" s="296" t="n">
        <x:f>SUM(E39:I39)</x:f>
        <x:v>23</x:v>
      </x:c>
      <x:c r="K39" s="291" t="str">
        <x:v>7월</x:v>
      </x:c>
    </x:row>
    <x:row r="40">
      <x:c r="A40" s="291" t="n">
        <x:f>IF('초등학교+병설유치원(7월)'!A16="","",'초등학교+병설유치원(7월)'!A16)</x:f>
        <x:v>7</x:v>
      </x:c>
      <x:c r="B40" s="291" t="str">
        <x:v>초등학교</x:v>
      </x:c>
      <x:c r="C40" s="291" t="str">
        <x:f>IF('초등학교+병설유치원(7월)'!B16="","",'초등학교+병설유치원(7월)'!B16)</x:f>
        <x:v>이리동북초</x:v>
      </x:c>
      <x:c r="D40" s="293" t="n">
        <x:v>46234</x:v>
      </x:c>
      <x:c r="E40" s="294" t="n">
        <x:f>IF('초등학교+병설유치원(7월)'!BY16="",0,'초등학교+병설유치원(7월)'!BY16)</x:f>
        <x:v>23</x:v>
      </x:c>
      <x:c r="F40" s="294" t="n">
        <x:f>IF('초등학교+병설유치원(7월)'!BZ16="",0,'초등학교+병설유치원(7월)'!BZ16)</x:f>
        <x:v>0</x:v>
      </x:c>
      <x:c r="G40" s="294" t="n">
        <x:f>IF('초등학교+병설유치원(7월)'!CA16="",0,'초등학교+병설유치원(7월)'!CA16)</x:f>
        <x:v>0</x:v>
      </x:c>
      <x:c r="H40" s="294" t="n">
        <x:f>IF('초등학교+병설유치원(7월)'!CB16="",0,'초등학교+병설유치원(7월)'!CB16)</x:f>
        <x:v>0</x:v>
      </x:c>
      <x:c r="I40" s="294" t="n">
        <x:f>IF('초등학교+병설유치원(7월)'!CC16="",0,'초등학교+병설유치원(7월)'!CC16)</x:f>
        <x:v>0</x:v>
      </x:c>
      <x:c r="J40" s="296" t="n">
        <x:f>SUM(E40:I40)</x:f>
        <x:v>23</x:v>
      </x:c>
      <x:c r="K40" s="291" t="str">
        <x:v>7월</x:v>
      </x:c>
    </x:row>
    <x:row r="41">
      <x:c r="A41" s="291" t="n">
        <x:f>IF('초등학교+병설유치원(7월)'!A17="","",'초등학교+병설유치원(7월)'!A17)</x:f>
        <x:v>8</x:v>
      </x:c>
      <x:c r="B41" s="291" t="str">
        <x:v>초등학교</x:v>
      </x:c>
      <x:c r="C41" s="291" t="str">
        <x:f>IF('초등학교+병설유치원(7월)'!B17="","",'초등학교+병설유치원(7월)'!B17)</x:f>
        <x:v>이리동산초</x:v>
      </x:c>
      <x:c r="D41" s="293" t="n">
        <x:v>46232</x:v>
      </x:c>
      <x:c r="E41" s="294" t="n">
        <x:f>IF('초등학교+병설유치원(7월)'!BM17="",0,'초등학교+병설유치원(7월)'!BM17)</x:f>
        <x:v>15</x:v>
      </x:c>
      <x:c r="F41" s="294" t="n">
        <x:f>IF('초등학교+병설유치원(7월)'!BN17="",0,'초등학교+병설유치원(7월)'!BN17)</x:f>
        <x:v>13</x:v>
      </x:c>
      <x:c r="G41" s="294" t="n">
        <x:f>IF('초등학교+병설유치원(7월)'!BO17="",0,'초등학교+병설유치원(7월)'!BO17)</x:f>
        <x:v>0</x:v>
      </x:c>
      <x:c r="H41" s="294" t="n">
        <x:f>IF('초등학교+병설유치원(7월)'!BP17="",0,'초등학교+병설유치원(7월)'!BP17)</x:f>
        <x:v>0</x:v>
      </x:c>
      <x:c r="I41" s="294" t="n">
        <x:f>IF('초등학교+병설유치원(7월)'!BQ17="",0,'초등학교+병설유치원(7월)'!BQ17)</x:f>
        <x:v>0</x:v>
      </x:c>
      <x:c r="J41" s="296" t="n">
        <x:f>SUM(E41:I41)</x:f>
        <x:v>28</x:v>
      </x:c>
      <x:c r="K41" s="291" t="str">
        <x:v>7월</x:v>
      </x:c>
    </x:row>
    <x:row r="42">
      <x:c r="A42" s="291" t="n">
        <x:f>IF('초등학교+병설유치원(7월)'!A17="","",'초등학교+병설유치원(7월)'!A17)</x:f>
        <x:v>8</x:v>
      </x:c>
      <x:c r="B42" s="291" t="str">
        <x:v>초등학교</x:v>
      </x:c>
      <x:c r="C42" s="291" t="str">
        <x:f>IF('초등학교+병설유치원(7월)'!B17="","",'초등학교+병설유치원(7월)'!B17)</x:f>
        <x:v>이리동산초</x:v>
      </x:c>
      <x:c r="D42" s="293" t="n">
        <x:v>46233</x:v>
      </x:c>
      <x:c r="E42" s="294" t="n">
        <x:f>IF('초등학교+병설유치원(7월)'!BS17="",0,'초등학교+병설유치원(7월)'!BS17)</x:f>
        <x:v>15</x:v>
      </x:c>
      <x:c r="F42" s="294" t="n">
        <x:f>IF('초등학교+병설유치원(7월)'!BT17="",0,'초등학교+병설유치원(7월)'!BT17)</x:f>
        <x:v>13</x:v>
      </x:c>
      <x:c r="G42" s="294" t="n">
        <x:f>IF('초등학교+병설유치원(7월)'!BU17="",0,'초등학교+병설유치원(7월)'!BU17)</x:f>
        <x:v>0</x:v>
      </x:c>
      <x:c r="H42" s="294" t="n">
        <x:f>IF('초등학교+병설유치원(7월)'!BV17="",0,'초등학교+병설유치원(7월)'!BV17)</x:f>
        <x:v>0</x:v>
      </x:c>
      <x:c r="I42" s="294" t="n">
        <x:f>IF('초등학교+병설유치원(7월)'!BW17="",0,'초등학교+병설유치원(7월)'!BW17)</x:f>
        <x:v>0</x:v>
      </x:c>
      <x:c r="J42" s="296" t="n">
        <x:f>SUM(E42:I42)</x:f>
        <x:v>28</x:v>
      </x:c>
      <x:c r="K42" s="291" t="str">
        <x:v>7월</x:v>
      </x:c>
    </x:row>
    <x:row r="43">
      <x:c r="A43" s="291" t="n">
        <x:f>IF('초등학교+병설유치원(7월)'!A17="","",'초등학교+병설유치원(7월)'!A17)</x:f>
        <x:v>8</x:v>
      </x:c>
      <x:c r="B43" s="291" t="str">
        <x:v>초등학교</x:v>
      </x:c>
      <x:c r="C43" s="291" t="str">
        <x:f>IF('초등학교+병설유치원(7월)'!B17="","",'초등학교+병설유치원(7월)'!B17)</x:f>
        <x:v>이리동산초</x:v>
      </x:c>
      <x:c r="D43" s="293" t="n">
        <x:v>46234</x:v>
      </x:c>
      <x:c r="E43" s="294" t="n">
        <x:f>IF('초등학교+병설유치원(7월)'!BY17="",0,'초등학교+병설유치원(7월)'!BY17)</x:f>
        <x:v>15</x:v>
      </x:c>
      <x:c r="F43" s="294" t="n">
        <x:f>IF('초등학교+병설유치원(7월)'!BZ17="",0,'초등학교+병설유치원(7월)'!BZ17)</x:f>
        <x:v>13</x:v>
      </x:c>
      <x:c r="G43" s="294" t="n">
        <x:f>IF('초등학교+병설유치원(7월)'!CA17="",0,'초등학교+병설유치원(7월)'!CA17)</x:f>
        <x:v>0</x:v>
      </x:c>
      <x:c r="H43" s="294" t="n">
        <x:f>IF('초등학교+병설유치원(7월)'!CB17="",0,'초등학교+병설유치원(7월)'!CB17)</x:f>
        <x:v>0</x:v>
      </x:c>
      <x:c r="I43" s="294" t="n">
        <x:f>IF('초등학교+병설유치원(7월)'!CC17="",0,'초등학교+병설유치원(7월)'!CC17)</x:f>
        <x:v>0</x:v>
      </x:c>
      <x:c r="J43" s="296" t="n">
        <x:f>SUM(E43:I43)</x:f>
        <x:v>28</x:v>
      </x:c>
      <x:c r="K43" s="291" t="str">
        <x:v>7월</x:v>
      </x:c>
    </x:row>
    <x:row r="44">
      <x:c r="A44" s="291" t="n">
        <x:f>IF('초등학교+병설유치원(7월)'!A18="","",'초등학교+병설유치원(7월)'!A18)</x:f>
        <x:v>9</x:v>
      </x:c>
      <x:c r="B44" s="291" t="str">
        <x:v>초등학교</x:v>
      </x:c>
      <x:c r="C44" s="291" t="str">
        <x:f>IF('초등학교+병설유치원(7월)'!B18="","",'초등학교+병설유치원(7월)'!B18)</x:f>
        <x:v>이리동초</x:v>
      </x:c>
      <x:c r="D44" s="293" t="n">
        <x:v>46233</x:v>
      </x:c>
      <x:c r="E44" s="294" t="n">
        <x:f>IF('초등학교+병설유치원(7월)'!BS18="",0,'초등학교+병설유치원(7월)'!BS18)</x:f>
        <x:v>16</x:v>
      </x:c>
      <x:c r="F44" s="294" t="n">
        <x:f>IF('초등학교+병설유치원(7월)'!BT18="",0,'초등학교+병설유치원(7월)'!BT18)</x:f>
        <x:v>17</x:v>
      </x:c>
      <x:c r="G44" s="294" t="n">
        <x:f>IF('초등학교+병설유치원(7월)'!BU18="",0,'초등학교+병설유치원(7월)'!BU18)</x:f>
        <x:v>0</x:v>
      </x:c>
      <x:c r="H44" s="294" t="n">
        <x:f>IF('초등학교+병설유치원(7월)'!BV18="",0,'초등학교+병설유치원(7월)'!BV18)</x:f>
        <x:v>0</x:v>
      </x:c>
      <x:c r="I44" s="294" t="n">
        <x:f>IF('초등학교+병설유치원(7월)'!BW18="",0,'초등학교+병설유치원(7월)'!BW18)</x:f>
        <x:v>0</x:v>
      </x:c>
      <x:c r="J44" s="296" t="n">
        <x:f>SUM(E44:I44)</x:f>
        <x:v>33</x:v>
      </x:c>
      <x:c r="K44" s="291" t="str">
        <x:v>7월</x:v>
      </x:c>
    </x:row>
    <x:row r="45">
      <x:c r="A45" s="291" t="n">
        <x:f>IF('초등학교+병설유치원(7월)'!A18="","",'초등학교+병설유치원(7월)'!A18)</x:f>
        <x:v>9</x:v>
      </x:c>
      <x:c r="B45" s="291" t="str">
        <x:v>초등학교</x:v>
      </x:c>
      <x:c r="C45" s="291" t="str">
        <x:f>IF('초등학교+병설유치원(7월)'!B18="","",'초등학교+병설유치원(7월)'!B18)</x:f>
        <x:v>이리동초</x:v>
      </x:c>
      <x:c r="D45" s="293" t="n">
        <x:v>46234</x:v>
      </x:c>
      <x:c r="E45" s="294" t="n">
        <x:f>IF('초등학교+병설유치원(7월)'!BY18="",0,'초등학교+병설유치원(7월)'!BY18)</x:f>
        <x:v>16</x:v>
      </x:c>
      <x:c r="F45" s="294" t="n">
        <x:f>IF('초등학교+병설유치원(7월)'!BZ18="",0,'초등학교+병설유치원(7월)'!BZ18)</x:f>
        <x:v>17</x:v>
      </x:c>
      <x:c r="G45" s="294" t="n">
        <x:f>IF('초등학교+병설유치원(7월)'!CA18="",0,'초등학교+병설유치원(7월)'!CA18)</x:f>
        <x:v>0</x:v>
      </x:c>
      <x:c r="H45" s="294" t="n">
        <x:f>IF('초등학교+병설유치원(7월)'!CB18="",0,'초등학교+병설유치원(7월)'!CB18)</x:f>
        <x:v>0</x:v>
      </x:c>
      <x:c r="I45" s="294" t="n">
        <x:f>IF('초등학교+병설유치원(7월)'!CC18="",0,'초등학교+병설유치원(7월)'!CC18)</x:f>
        <x:v>0</x:v>
      </x:c>
      <x:c r="J45" s="296" t="n">
        <x:f>SUM(E45:I45)</x:f>
        <x:v>33</x:v>
      </x:c>
      <x:c r="K45" s="291" t="str">
        <x:v>7월</x:v>
      </x:c>
    </x:row>
    <x:row r="46">
      <x:c r="A46" s="291" t="n">
        <x:f>IF('초등학교+병설유치원(7월)'!A19="","",'초등학교+병설유치원(7월)'!A19)</x:f>
        <x:v>10</x:v>
      </x:c>
      <x:c r="B46" s="291" t="str">
        <x:v>초등학교</x:v>
      </x:c>
      <x:c r="C46" s="291" t="str">
        <x:f>IF('초등학교+병설유치원(7월)'!B19="","",'초등학교+병설유치원(7월)'!B19)</x:f>
        <x:v>이리마한초</x:v>
      </x:c>
      <x:c r="D46" s="293" t="n">
        <x:v>46232</x:v>
      </x:c>
      <x:c r="E46" s="294" t="n">
        <x:f>IF('초등학교+병설유치원(7월)'!BM19="",0,'초등학교+병설유치원(7월)'!BM19)</x:f>
        <x:v>19</x:v>
      </x:c>
      <x:c r="F46" s="294" t="n">
        <x:f>IF('초등학교+병설유치원(7월)'!BN19="",0,'초등학교+병설유치원(7월)'!BN19)</x:f>
        <x:v>18</x:v>
      </x:c>
      <x:c r="G46" s="294" t="n">
        <x:f>IF('초등학교+병설유치원(7월)'!BO19="",0,'초등학교+병설유치원(7월)'!BO19)</x:f>
        <x:v>0</x:v>
      </x:c>
      <x:c r="H46" s="294" t="n">
        <x:f>IF('초등학교+병설유치원(7월)'!BP19="",0,'초등학교+병설유치원(7월)'!BP19)</x:f>
        <x:v>0</x:v>
      </x:c>
      <x:c r="I46" s="294" t="n">
        <x:f>IF('초등학교+병설유치원(7월)'!BQ19="",0,'초등학교+병설유치원(7월)'!BQ19)</x:f>
        <x:v>0</x:v>
      </x:c>
      <x:c r="J46" s="296" t="n">
        <x:f>SUM(E46:I46)</x:f>
        <x:v>37</x:v>
      </x:c>
      <x:c r="K46" s="291" t="str">
        <x:v>7월</x:v>
      </x:c>
    </x:row>
    <x:row r="47">
      <x:c r="A47" s="291" t="n">
        <x:f>IF('초등학교+병설유치원(7월)'!A19="","",'초등학교+병설유치원(7월)'!A19)</x:f>
        <x:v>10</x:v>
      </x:c>
      <x:c r="B47" s="291" t="str">
        <x:v>초등학교</x:v>
      </x:c>
      <x:c r="C47" s="291" t="str">
        <x:f>IF('초등학교+병설유치원(7월)'!B19="","",'초등학교+병설유치원(7월)'!B19)</x:f>
        <x:v>이리마한초</x:v>
      </x:c>
      <x:c r="D47" s="293" t="n">
        <x:v>46233</x:v>
      </x:c>
      <x:c r="E47" s="294" t="n">
        <x:f>IF('초등학교+병설유치원(7월)'!BS19="",0,'초등학교+병설유치원(7월)'!BS19)</x:f>
        <x:v>19</x:v>
      </x:c>
      <x:c r="F47" s="294" t="n">
        <x:f>IF('초등학교+병설유치원(7월)'!BT19="",0,'초등학교+병설유치원(7월)'!BT19)</x:f>
        <x:v>18</x:v>
      </x:c>
      <x:c r="G47" s="294" t="n">
        <x:f>IF('초등학교+병설유치원(7월)'!BU19="",0,'초등학교+병설유치원(7월)'!BU19)</x:f>
        <x:v>0</x:v>
      </x:c>
      <x:c r="H47" s="294" t="n">
        <x:f>IF('초등학교+병설유치원(7월)'!BV19="",0,'초등학교+병설유치원(7월)'!BV19)</x:f>
        <x:v>0</x:v>
      </x:c>
      <x:c r="I47" s="294" t="n">
        <x:f>IF('초등학교+병설유치원(7월)'!BW19="",0,'초등학교+병설유치원(7월)'!BW19)</x:f>
        <x:v>0</x:v>
      </x:c>
      <x:c r="J47" s="296" t="n">
        <x:f>SUM(E47:I47)</x:f>
        <x:v>37</x:v>
      </x:c>
      <x:c r="K47" s="291" t="str">
        <x:v>7월</x:v>
      </x:c>
    </x:row>
    <x:row r="48">
      <x:c r="A48" s="291" t="n">
        <x:f>IF('초등학교+병설유치원(7월)'!A19="","",'초등학교+병설유치원(7월)'!A19)</x:f>
        <x:v>10</x:v>
      </x:c>
      <x:c r="B48" s="291" t="str">
        <x:v>초등학교</x:v>
      </x:c>
      <x:c r="C48" s="291" t="str">
        <x:f>IF('초등학교+병설유치원(7월)'!B19="","",'초등학교+병설유치원(7월)'!B19)</x:f>
        <x:v>이리마한초</x:v>
      </x:c>
      <x:c r="D48" s="293" t="n">
        <x:v>46234</x:v>
      </x:c>
      <x:c r="E48" s="294" t="n">
        <x:f>IF('초등학교+병설유치원(7월)'!BY19="",0,'초등학교+병설유치원(7월)'!BY19)</x:f>
        <x:v>19</x:v>
      </x:c>
      <x:c r="F48" s="294" t="n">
        <x:f>IF('초등학교+병설유치원(7월)'!BZ19="",0,'초등학교+병설유치원(7월)'!BZ19)</x:f>
        <x:v>18</x:v>
      </x:c>
      <x:c r="G48" s="294" t="n">
        <x:f>IF('초등학교+병설유치원(7월)'!CA19="",0,'초등학교+병설유치원(7월)'!CA19)</x:f>
        <x:v>0</x:v>
      </x:c>
      <x:c r="H48" s="294" t="n">
        <x:f>IF('초등학교+병설유치원(7월)'!CB19="",0,'초등학교+병설유치원(7월)'!CB19)</x:f>
        <x:v>0</x:v>
      </x:c>
      <x:c r="I48" s="294" t="n">
        <x:f>IF('초등학교+병설유치원(7월)'!CC19="",0,'초등학교+병설유치원(7월)'!CC19)</x:f>
        <x:v>0</x:v>
      </x:c>
      <x:c r="J48" s="296" t="n">
        <x:f>SUM(E48:I48)</x:f>
        <x:v>37</x:v>
      </x:c>
      <x:c r="K48" s="291" t="str">
        <x:v>7월</x:v>
      </x:c>
    </x:row>
    <x:row r="49">
      <x:c r="A49" s="291" t="str">
        <x:f>IF('초등학교+병설유치원(7월)'!A20="","",'초등학교+병설유치원(7월)'!A20)</x:f>
        <x:v>10-1</x:v>
      </x:c>
      <x:c r="B49" s="291" t="str">
        <x:v>병설유치원</x:v>
      </x:c>
      <x:c r="C49" s="291" t="str">
        <x:f>IF('초등학교+병설유치원(7월)'!B20="","",'초등학교+병설유치원(7월)'!B20)</x:f>
        <x:v>이리마한초 병설유치원</x:v>
      </x:c>
      <x:c r="D49" s="293" t="n">
        <x:v>46223</x:v>
      </x:c>
      <x:c r="E49" s="294" t="n">
        <x:f>IF('초등학교+병설유치원(7월)'!W20="",0,'초등학교+병설유치원(7월)'!W20)</x:f>
        <x:v>5</x:v>
      </x:c>
      <x:c r="F49" s="294" t="n">
        <x:f>IF('초등학교+병설유치원(7월)'!X20="",0,'초등학교+병설유치원(7월)'!X20)</x:f>
        <x:v>0</x:v>
      </x:c>
      <x:c r="G49" s="294" t="n">
        <x:f>IF('초등학교+병설유치원(7월)'!Y20="",0,'초등학교+병설유치원(7월)'!Y20)</x:f>
        <x:v>0</x:v>
      </x:c>
      <x:c r="H49" s="294" t="n">
        <x:f>IF('초등학교+병설유치원(7월)'!Z20="",0,'초등학교+병설유치원(7월)'!Z20)</x:f>
        <x:v>0</x:v>
      </x:c>
      <x:c r="I49" s="294" t="n">
        <x:f>IF('초등학교+병설유치원(7월)'!AA20="",0,'초등학교+병설유치원(7월)'!AA20)</x:f>
        <x:v>0</x:v>
      </x:c>
      <x:c r="J49" s="296" t="n">
        <x:f>SUM(E49:I49)</x:f>
        <x:v>5</x:v>
      </x:c>
      <x:c r="K49" s="291" t="str">
        <x:v>7월</x:v>
      </x:c>
    </x:row>
    <x:row r="50">
      <x:c r="A50" s="291" t="str">
        <x:f>IF('초등학교+병설유치원(7월)'!A20="","",'초등학교+병설유치원(7월)'!A20)</x:f>
        <x:v>10-1</x:v>
      </x:c>
      <x:c r="B50" s="291" t="str">
        <x:v>병설유치원</x:v>
      </x:c>
      <x:c r="C50" s="291" t="str">
        <x:f>IF('초등학교+병설유치원(7월)'!B20="","",'초등학교+병설유치원(7월)'!B20)</x:f>
        <x:v>이리마한초 병설유치원</x:v>
      </x:c>
      <x:c r="D50" s="293" t="n">
        <x:v>46224</x:v>
      </x:c>
      <x:c r="E50" s="294" t="n">
        <x:f>IF('초등학교+병설유치원(7월)'!AC20="",0,'초등학교+병설유치원(7월)'!AC20)</x:f>
        <x:v>5</x:v>
      </x:c>
      <x:c r="F50" s="294" t="n">
        <x:f>IF('초등학교+병설유치원(7월)'!AD20="",0,'초등학교+병설유치원(7월)'!AD20)</x:f>
        <x:v>0</x:v>
      </x:c>
      <x:c r="G50" s="294" t="n">
        <x:f>IF('초등학교+병설유치원(7월)'!AE20="",0,'초등학교+병설유치원(7월)'!AE20)</x:f>
        <x:v>0</x:v>
      </x:c>
      <x:c r="H50" s="294" t="n">
        <x:f>IF('초등학교+병설유치원(7월)'!AF20="",0,'초등학교+병설유치원(7월)'!AF20)</x:f>
        <x:v>0</x:v>
      </x:c>
      <x:c r="I50" s="294" t="n">
        <x:f>IF('초등학교+병설유치원(7월)'!AG20="",0,'초등학교+병설유치원(7월)'!AG20)</x:f>
        <x:v>0</x:v>
      </x:c>
      <x:c r="J50" s="296" t="n">
        <x:f>SUM(E50:I50)</x:f>
        <x:v>5</x:v>
      </x:c>
      <x:c r="K50" s="291" t="str">
        <x:v>7월</x:v>
      </x:c>
    </x:row>
    <x:row r="51">
      <x:c r="A51" s="291" t="str">
        <x:f>IF('초등학교+병설유치원(7월)'!A20="","",'초등학교+병설유치원(7월)'!A20)</x:f>
        <x:v>10-1</x:v>
      </x:c>
      <x:c r="B51" s="291" t="str">
        <x:v>병설유치원</x:v>
      </x:c>
      <x:c r="C51" s="291" t="str">
        <x:f>IF('초등학교+병설유치원(7월)'!B20="","",'초등학교+병설유치원(7월)'!B20)</x:f>
        <x:v>이리마한초 병설유치원</x:v>
      </x:c>
      <x:c r="D51" s="293" t="n">
        <x:v>46225</x:v>
      </x:c>
      <x:c r="E51" s="294" t="n">
        <x:f>IF('초등학교+병설유치원(7월)'!AI20="",0,'초등학교+병설유치원(7월)'!AI20)</x:f>
        <x:v>5</x:v>
      </x:c>
      <x:c r="F51" s="294" t="n">
        <x:f>IF('초등학교+병설유치원(7월)'!AJ20="",0,'초등학교+병설유치원(7월)'!AJ20)</x:f>
        <x:v>0</x:v>
      </x:c>
      <x:c r="G51" s="294" t="n">
        <x:f>IF('초등학교+병설유치원(7월)'!AK20="",0,'초등학교+병설유치원(7월)'!AK20)</x:f>
        <x:v>0</x:v>
      </x:c>
      <x:c r="H51" s="294" t="n">
        <x:f>IF('초등학교+병설유치원(7월)'!AL20="",0,'초등학교+병설유치원(7월)'!AL20)</x:f>
        <x:v>0</x:v>
      </x:c>
      <x:c r="I51" s="294" t="n">
        <x:f>IF('초등학교+병설유치원(7월)'!AM20="",0,'초등학교+병설유치원(7월)'!AM20)</x:f>
        <x:v>0</x:v>
      </x:c>
      <x:c r="J51" s="296" t="n">
        <x:f>SUM(E51:I51)</x:f>
        <x:v>5</x:v>
      </x:c>
      <x:c r="K51" s="291" t="str">
        <x:v>7월</x:v>
      </x:c>
    </x:row>
    <x:row r="52">
      <x:c r="A52" s="291" t="str">
        <x:f>IF('초등학교+병설유치원(7월)'!A20="","",'초등학교+병설유치원(7월)'!A20)</x:f>
        <x:v>10-1</x:v>
      </x:c>
      <x:c r="B52" s="291" t="str">
        <x:v>병설유치원</x:v>
      </x:c>
      <x:c r="C52" s="291" t="str">
        <x:f>IF('초등학교+병설유치원(7월)'!B20="","",'초등학교+병설유치원(7월)'!B20)</x:f>
        <x:v>이리마한초 병설유치원</x:v>
      </x:c>
      <x:c r="D52" s="293" t="n">
        <x:v>46226</x:v>
      </x:c>
      <x:c r="E52" s="294" t="n">
        <x:f>IF('초등학교+병설유치원(7월)'!AO20="",0,'초등학교+병설유치원(7월)'!AO20)</x:f>
        <x:v>5</x:v>
      </x:c>
      <x:c r="F52" s="294" t="n">
        <x:f>IF('초등학교+병설유치원(7월)'!AP20="",0,'초등학교+병설유치원(7월)'!AP20)</x:f>
        <x:v>0</x:v>
      </x:c>
      <x:c r="G52" s="294" t="n">
        <x:f>IF('초등학교+병설유치원(7월)'!AQ20="",0,'초등학교+병설유치원(7월)'!AQ20)</x:f>
        <x:v>0</x:v>
      </x:c>
      <x:c r="H52" s="294" t="n">
        <x:f>IF('초등학교+병설유치원(7월)'!AR20="",0,'초등학교+병설유치원(7월)'!AR20)</x:f>
        <x:v>0</x:v>
      </x:c>
      <x:c r="I52" s="294" t="n">
        <x:f>IF('초등학교+병설유치원(7월)'!AS20="",0,'초등학교+병설유치원(7월)'!AS20)</x:f>
        <x:v>0</x:v>
      </x:c>
      <x:c r="J52" s="296" t="n">
        <x:f>SUM(E52:I52)</x:f>
        <x:v>5</x:v>
      </x:c>
      <x:c r="K52" s="291" t="str">
        <x:v>7월</x:v>
      </x:c>
    </x:row>
    <x:row r="53">
      <x:c r="A53" s="291" t="str">
        <x:f>IF('초등학교+병설유치원(7월)'!A20="","",'초등학교+병설유치원(7월)'!A20)</x:f>
        <x:v>10-1</x:v>
      </x:c>
      <x:c r="B53" s="291" t="str">
        <x:v>병설유치원</x:v>
      </x:c>
      <x:c r="C53" s="291" t="str">
        <x:f>IF('초등학교+병설유치원(7월)'!B20="","",'초등학교+병설유치원(7월)'!B20)</x:f>
        <x:v>이리마한초 병설유치원</x:v>
      </x:c>
      <x:c r="D53" s="293" t="n">
        <x:v>46227</x:v>
      </x:c>
      <x:c r="E53" s="294" t="n">
        <x:f>IF('초등학교+병설유치원(7월)'!AU20="",0,'초등학교+병설유치원(7월)'!AU20)</x:f>
        <x:v>5</x:v>
      </x:c>
      <x:c r="F53" s="294" t="n">
        <x:f>IF('초등학교+병설유치원(7월)'!AV20="",0,'초등학교+병설유치원(7월)'!AV20)</x:f>
        <x:v>0</x:v>
      </x:c>
      <x:c r="G53" s="294" t="n">
        <x:f>IF('초등학교+병설유치원(7월)'!AW20="",0,'초등학교+병설유치원(7월)'!AW20)</x:f>
        <x:v>0</x:v>
      </x:c>
      <x:c r="H53" s="294" t="n">
        <x:f>IF('초등학교+병설유치원(7월)'!AX20="",0,'초등학교+병설유치원(7월)'!AX20)</x:f>
        <x:v>0</x:v>
      </x:c>
      <x:c r="I53" s="294" t="n">
        <x:f>IF('초등학교+병설유치원(7월)'!AY20="",0,'초등학교+병설유치원(7월)'!AY20)</x:f>
        <x:v>0</x:v>
      </x:c>
      <x:c r="J53" s="296" t="n">
        <x:f>SUM(E53:I53)</x:f>
        <x:v>5</x:v>
      </x:c>
      <x:c r="K53" s="291" t="str">
        <x:v>7월</x:v>
      </x:c>
    </x:row>
    <x:row r="54">
      <x:c r="A54" s="291" t="n">
        <x:f>IF('초등학교+병설유치원(7월)'!A21="","",'초등학교+병설유치원(7월)'!A21)</x:f>
        <x:v>11</x:v>
      </x:c>
      <x:c r="B54" s="291" t="str">
        <x:v>초등학교</x:v>
      </x:c>
      <x:c r="C54" s="291" t="str">
        <x:f>IF('초등학교+병설유치원(7월)'!B21="","",'초등학교+병설유치원(7월)'!B21)</x:f>
        <x:v>이리모현초</x:v>
      </x:c>
      <x:c r="D54" s="293" t="n">
        <x:v>46231</x:v>
      </x:c>
      <x:c r="E54" s="294" t="n">
        <x:f>IF('초등학교+병설유치원(7월)'!BG21="",0,'초등학교+병설유치원(7월)'!BG21)</x:f>
        <x:v>20</x:v>
      </x:c>
      <x:c r="F54" s="294" t="n">
        <x:f>IF('초등학교+병설유치원(7월)'!BH21="",0,'초등학교+병설유치원(7월)'!BH21)</x:f>
        <x:v>20</x:v>
      </x:c>
      <x:c r="G54" s="294" t="n">
        <x:f>IF('초등학교+병설유치원(7월)'!BI21="",0,'초등학교+병설유치원(7월)'!BI21)</x:f>
        <x:v>18</x:v>
      </x:c>
      <x:c r="H54" s="294" t="n">
        <x:f>IF('초등학교+병설유치원(7월)'!BJ21="",0,'초등학교+병설유치원(7월)'!BJ21)</x:f>
        <x:v>20</x:v>
      </x:c>
      <x:c r="I54" s="294" t="n">
        <x:f>IF('초등학교+병설유치원(7월)'!BK21="",0,'초등학교+병설유치원(7월)'!BK21)</x:f>
        <x:v>0</x:v>
      </x:c>
      <x:c r="J54" s="296" t="n">
        <x:f>SUM(E54:I54)</x:f>
        <x:v>78</x:v>
      </x:c>
      <x:c r="K54" s="291" t="str">
        <x:v>7월</x:v>
      </x:c>
    </x:row>
    <x:row r="55">
      <x:c r="A55" s="291" t="n">
        <x:f>IF('초등학교+병설유치원(7월)'!A21="","",'초등학교+병설유치원(7월)'!A21)</x:f>
        <x:v>11</x:v>
      </x:c>
      <x:c r="B55" s="291" t="str">
        <x:v>초등학교</x:v>
      </x:c>
      <x:c r="C55" s="291" t="str">
        <x:f>IF('초등학교+병설유치원(7월)'!B21="","",'초등학교+병설유치원(7월)'!B21)</x:f>
        <x:v>이리모현초</x:v>
      </x:c>
      <x:c r="D55" s="293" t="n">
        <x:v>46232</x:v>
      </x:c>
      <x:c r="E55" s="294" t="n">
        <x:f>IF('초등학교+병설유치원(7월)'!BM21="",0,'초등학교+병설유치원(7월)'!BM21)</x:f>
        <x:v>20</x:v>
      </x:c>
      <x:c r="F55" s="294" t="n">
        <x:f>IF('초등학교+병설유치원(7월)'!BN21="",0,'초등학교+병설유치원(7월)'!BN21)</x:f>
        <x:v>20</x:v>
      </x:c>
      <x:c r="G55" s="294" t="n">
        <x:f>IF('초등학교+병설유치원(7월)'!BO21="",0,'초등학교+병설유치원(7월)'!BO21)</x:f>
        <x:v>18</x:v>
      </x:c>
      <x:c r="H55" s="294" t="n">
        <x:f>IF('초등학교+병설유치원(7월)'!BP21="",0,'초등학교+병설유치원(7월)'!BP21)</x:f>
        <x:v>20</x:v>
      </x:c>
      <x:c r="I55" s="294" t="n">
        <x:f>IF('초등학교+병설유치원(7월)'!BQ21="",0,'초등학교+병설유치원(7월)'!BQ21)</x:f>
        <x:v>0</x:v>
      </x:c>
      <x:c r="J55" s="296" t="n">
        <x:f>SUM(E55:I55)</x:f>
        <x:v>78</x:v>
      </x:c>
      <x:c r="K55" s="291" t="str">
        <x:v>7월</x:v>
      </x:c>
    </x:row>
    <x:row r="56">
      <x:c r="A56" s="291" t="n">
        <x:f>IF('초등학교+병설유치원(7월)'!A21="","",'초등학교+병설유치원(7월)'!A21)</x:f>
        <x:v>11</x:v>
      </x:c>
      <x:c r="B56" s="291" t="str">
        <x:v>초등학교</x:v>
      </x:c>
      <x:c r="C56" s="291" t="str">
        <x:f>IF('초등학교+병설유치원(7월)'!B21="","",'초등학교+병설유치원(7월)'!B21)</x:f>
        <x:v>이리모현초</x:v>
      </x:c>
      <x:c r="D56" s="293" t="n">
        <x:v>46233</x:v>
      </x:c>
      <x:c r="E56" s="294" t="n">
        <x:f>IF('초등학교+병설유치원(7월)'!BS21="",0,'초등학교+병설유치원(7월)'!BS21)</x:f>
        <x:v>20</x:v>
      </x:c>
      <x:c r="F56" s="294" t="n">
        <x:f>IF('초등학교+병설유치원(7월)'!BT21="",0,'초등학교+병설유치원(7월)'!BT21)</x:f>
        <x:v>20</x:v>
      </x:c>
      <x:c r="G56" s="294" t="n">
        <x:f>IF('초등학교+병설유치원(7월)'!BU21="",0,'초등학교+병설유치원(7월)'!BU21)</x:f>
        <x:v>18</x:v>
      </x:c>
      <x:c r="H56" s="294" t="n">
        <x:f>IF('초등학교+병설유치원(7월)'!BV21="",0,'초등학교+병설유치원(7월)'!BV21)</x:f>
        <x:v>20</x:v>
      </x:c>
      <x:c r="I56" s="294" t="n">
        <x:f>IF('초등학교+병설유치원(7월)'!BW21="",0,'초등학교+병설유치원(7월)'!BW21)</x:f>
        <x:v>0</x:v>
      </x:c>
      <x:c r="J56" s="296" t="n">
        <x:f>SUM(E56:I56)</x:f>
        <x:v>78</x:v>
      </x:c>
      <x:c r="K56" s="291" t="str">
        <x:v>7월</x:v>
      </x:c>
    </x:row>
    <x:row r="57">
      <x:c r="A57" s="291" t="n">
        <x:f>IF('초등학교+병설유치원(7월)'!A21="","",'초등학교+병설유치원(7월)'!A21)</x:f>
        <x:v>11</x:v>
      </x:c>
      <x:c r="B57" s="291" t="str">
        <x:v>초등학교</x:v>
      </x:c>
      <x:c r="C57" s="291" t="str">
        <x:f>IF('초등학교+병설유치원(7월)'!B21="","",'초등학교+병설유치원(7월)'!B21)</x:f>
        <x:v>이리모현초</x:v>
      </x:c>
      <x:c r="D57" s="293" t="n">
        <x:v>46234</x:v>
      </x:c>
      <x:c r="E57" s="294" t="n">
        <x:f>IF('초등학교+병설유치원(7월)'!BY21="",0,'초등학교+병설유치원(7월)'!BY21)</x:f>
        <x:v>20</x:v>
      </x:c>
      <x:c r="F57" s="294" t="n">
        <x:f>IF('초등학교+병설유치원(7월)'!BZ21="",0,'초등학교+병설유치원(7월)'!BZ21)</x:f>
        <x:v>20</x:v>
      </x:c>
      <x:c r="G57" s="294" t="n">
        <x:f>IF('초등학교+병설유치원(7월)'!CA21="",0,'초등학교+병설유치원(7월)'!CA21)</x:f>
        <x:v>18</x:v>
      </x:c>
      <x:c r="H57" s="294" t="n">
        <x:f>IF('초등학교+병설유치원(7월)'!CB21="",0,'초등학교+병설유치원(7월)'!CB21)</x:f>
        <x:v>20</x:v>
      </x:c>
      <x:c r="I57" s="294" t="n">
        <x:f>IF('초등학교+병설유치원(7월)'!CC21="",0,'초등학교+병설유치원(7월)'!CC21)</x:f>
        <x:v>0</x:v>
      </x:c>
      <x:c r="J57" s="296" t="n">
        <x:f>SUM(E57:I57)</x:f>
        <x:v>78</x:v>
      </x:c>
      <x:c r="K57" s="291" t="str">
        <x:v>7월</x:v>
      </x:c>
    </x:row>
    <x:row r="58">
      <x:c r="A58" s="291" t="n">
        <x:f>IF('초등학교+병설유치원(7월)'!A22="","",'초등학교+병설유치원(7월)'!A22)</x:f>
        <x:v>12</x:v>
      </x:c>
      <x:c r="B58" s="291" t="str">
        <x:v>초등학교</x:v>
      </x:c>
      <x:c r="C58" s="291" t="str">
        <x:f>IF('초등학교+병설유치원(7월)'!B22="","",'초등학교+병설유치원(7월)'!B22)</x:f>
        <x:v>이리백제초</x:v>
      </x:c>
      <x:c r="D58" s="293" t="n">
        <x:v>46233</x:v>
      </x:c>
      <x:c r="E58" s="294" t="n">
        <x:f>IF('초등학교+병설유치원(7월)'!BS22="",0,'초등학교+병설유치원(7월)'!BS22)</x:f>
        <x:v>13</x:v>
      </x:c>
      <x:c r="F58" s="294" t="n">
        <x:f>IF('초등학교+병설유치원(7월)'!BT22="",0,'초등학교+병설유치원(7월)'!BT22)</x:f>
        <x:v>11</x:v>
      </x:c>
      <x:c r="G58" s="294" t="n">
        <x:f>IF('초등학교+병설유치원(7월)'!BU22="",0,'초등학교+병설유치원(7월)'!BU22)</x:f>
        <x:v>0</x:v>
      </x:c>
      <x:c r="H58" s="294" t="n">
        <x:f>IF('초등학교+병설유치원(7월)'!BV22="",0,'초등학교+병설유치원(7월)'!BV22)</x:f>
        <x:v>0</x:v>
      </x:c>
      <x:c r="I58" s="294" t="n">
        <x:f>IF('초등학교+병설유치원(7월)'!BW22="",0,'초등학교+병설유치원(7월)'!BW22)</x:f>
        <x:v>0</x:v>
      </x:c>
      <x:c r="J58" s="296" t="n">
        <x:f>SUM(E58:I58)</x:f>
        <x:v>24</x:v>
      </x:c>
      <x:c r="K58" s="291" t="str">
        <x:v>7월</x:v>
      </x:c>
    </x:row>
    <x:row r="59">
      <x:c r="A59" s="291" t="n">
        <x:f>IF('초등학교+병설유치원(7월)'!A22="","",'초등학교+병설유치원(7월)'!A22)</x:f>
        <x:v>12</x:v>
      </x:c>
      <x:c r="B59" s="291" t="str">
        <x:v>초등학교</x:v>
      </x:c>
      <x:c r="C59" s="291" t="str">
        <x:f>IF('초등학교+병설유치원(7월)'!B22="","",'초등학교+병설유치원(7월)'!B22)</x:f>
        <x:v>이리백제초</x:v>
      </x:c>
      <x:c r="D59" s="293" t="n">
        <x:v>46234</x:v>
      </x:c>
      <x:c r="E59" s="294" t="n">
        <x:f>IF('초등학교+병설유치원(7월)'!BY22="",0,'초등학교+병설유치원(7월)'!BY22)</x:f>
        <x:v>13</x:v>
      </x:c>
      <x:c r="F59" s="294" t="n">
        <x:f>IF('초등학교+병설유치원(7월)'!BZ22="",0,'초등학교+병설유치원(7월)'!BZ22)</x:f>
        <x:v>11</x:v>
      </x:c>
      <x:c r="G59" s="294" t="n">
        <x:f>IF('초등학교+병설유치원(7월)'!CA22="",0,'초등학교+병설유치원(7월)'!CA22)</x:f>
        <x:v>0</x:v>
      </x:c>
      <x:c r="H59" s="294" t="n">
        <x:f>IF('초등학교+병설유치원(7월)'!CB22="",0,'초등학교+병설유치원(7월)'!CB22)</x:f>
        <x:v>0</x:v>
      </x:c>
      <x:c r="I59" s="294" t="n">
        <x:f>IF('초등학교+병설유치원(7월)'!CC22="",0,'초등학교+병설유치원(7월)'!CC22)</x:f>
        <x:v>0</x:v>
      </x:c>
      <x:c r="J59" s="296" t="n">
        <x:f>SUM(E59:I59)</x:f>
        <x:v>24</x:v>
      </x:c>
      <x:c r="K59" s="291" t="str">
        <x:v>7월</x:v>
      </x:c>
    </x:row>
    <x:row r="60">
      <x:c r="A60" s="291" t="str">
        <x:f>IF('초등학교+병설유치원(7월)'!A23="","",'초등학교+병설유치원(7월)'!A23)</x:f>
        <x:v>12-1</x:v>
      </x:c>
      <x:c r="B60" s="291" t="str">
        <x:v>병설유치원</x:v>
      </x:c>
      <x:c r="C60" s="291" t="str">
        <x:f>IF('초등학교+병설유치원(7월)'!B23="","",'초등학교+병설유치원(7월)'!B23)</x:f>
        <x:v>이리백제초 병설유치원</x:v>
      </x:c>
      <x:c r="D60" s="293" t="n">
        <x:v>46219</x:v>
      </x:c>
      <x:c r="E60" s="294" t="n">
        <x:f>IF('초등학교+병설유치원(7월)'!Q23="",0,'초등학교+병설유치원(7월)'!Q23)</x:f>
        <x:v>3</x:v>
      </x:c>
      <x:c r="F60" s="294" t="n">
        <x:f>IF('초등학교+병설유치원(7월)'!R23="",0,'초등학교+병설유치원(7월)'!R23)</x:f>
        <x:v>0</x:v>
      </x:c>
      <x:c r="G60" s="294" t="n">
        <x:f>IF('초등학교+병설유치원(7월)'!S23="",0,'초등학교+병설유치원(7월)'!S23)</x:f>
        <x:v>0</x:v>
      </x:c>
      <x:c r="H60" s="294" t="n">
        <x:f>IF('초등학교+병설유치원(7월)'!T23="",0,'초등학교+병설유치원(7월)'!T23)</x:f>
        <x:v>0</x:v>
      </x:c>
      <x:c r="I60" s="294" t="n">
        <x:f>IF('초등학교+병설유치원(7월)'!U23="",0,'초등학교+병설유치원(7월)'!U23)</x:f>
        <x:v>0</x:v>
      </x:c>
      <x:c r="J60" s="296" t="n">
        <x:f>SUM(E60:I60)</x:f>
        <x:v>3</x:v>
      </x:c>
      <x:c r="K60" s="291" t="str">
        <x:v>7월</x:v>
      </x:c>
    </x:row>
    <x:row r="61">
      <x:c r="A61" s="291" t="str">
        <x:f>IF('초등학교+병설유치원(7월)'!A23="","",'초등학교+병설유치원(7월)'!A23)</x:f>
        <x:v>12-1</x:v>
      </x:c>
      <x:c r="B61" s="291" t="str">
        <x:v>병설유치원</x:v>
      </x:c>
      <x:c r="C61" s="291" t="str">
        <x:f>IF('초등학교+병설유치원(7월)'!B23="","",'초등학교+병설유치원(7월)'!B23)</x:f>
        <x:v>이리백제초 병설유치원</x:v>
      </x:c>
      <x:c r="D61" s="293" t="n">
        <x:v>46223</x:v>
      </x:c>
      <x:c r="E61" s="294" t="n">
        <x:f>IF('초등학교+병설유치원(7월)'!W23="",0,'초등학교+병설유치원(7월)'!W23)</x:f>
        <x:v>3</x:v>
      </x:c>
      <x:c r="F61" s="294" t="n">
        <x:f>IF('초등학교+병설유치원(7월)'!X23="",0,'초등학교+병설유치원(7월)'!X23)</x:f>
        <x:v>0</x:v>
      </x:c>
      <x:c r="G61" s="294" t="n">
        <x:f>IF('초등학교+병설유치원(7월)'!Y23="",0,'초등학교+병설유치원(7월)'!Y23)</x:f>
        <x:v>0</x:v>
      </x:c>
      <x:c r="H61" s="294" t="n">
        <x:f>IF('초등학교+병설유치원(7월)'!Z23="",0,'초등학교+병설유치원(7월)'!Z23)</x:f>
        <x:v>0</x:v>
      </x:c>
      <x:c r="I61" s="294" t="n">
        <x:f>IF('초등학교+병설유치원(7월)'!AA23="",0,'초등학교+병설유치원(7월)'!AA23)</x:f>
        <x:v>0</x:v>
      </x:c>
      <x:c r="J61" s="296" t="n">
        <x:f>SUM(E61:I61)</x:f>
        <x:v>3</x:v>
      </x:c>
      <x:c r="K61" s="291" t="str">
        <x:v>7월</x:v>
      </x:c>
    </x:row>
    <x:row r="62">
      <x:c r="A62" s="291" t="str">
        <x:f>IF('초등학교+병설유치원(7월)'!A23="","",'초등학교+병설유치원(7월)'!A23)</x:f>
        <x:v>12-1</x:v>
      </x:c>
      <x:c r="B62" s="291" t="str">
        <x:v>병설유치원</x:v>
      </x:c>
      <x:c r="C62" s="291" t="str">
        <x:f>IF('초등학교+병설유치원(7월)'!B23="","",'초등학교+병설유치원(7월)'!B23)</x:f>
        <x:v>이리백제초 병설유치원</x:v>
      </x:c>
      <x:c r="D62" s="293" t="n">
        <x:v>46224</x:v>
      </x:c>
      <x:c r="E62" s="294" t="n">
        <x:f>IF('초등학교+병설유치원(7월)'!AC23="",0,'초등학교+병설유치원(7월)'!AC23)</x:f>
        <x:v>3</x:v>
      </x:c>
      <x:c r="F62" s="294" t="n">
        <x:f>IF('초등학교+병설유치원(7월)'!AD23="",0,'초등학교+병설유치원(7월)'!AD23)</x:f>
        <x:v>0</x:v>
      </x:c>
      <x:c r="G62" s="294" t="n">
        <x:f>IF('초등학교+병설유치원(7월)'!AE23="",0,'초등학교+병설유치원(7월)'!AE23)</x:f>
        <x:v>0</x:v>
      </x:c>
      <x:c r="H62" s="294" t="n">
        <x:f>IF('초등학교+병설유치원(7월)'!AF23="",0,'초등학교+병설유치원(7월)'!AF23)</x:f>
        <x:v>0</x:v>
      </x:c>
      <x:c r="I62" s="294" t="n">
        <x:f>IF('초등학교+병설유치원(7월)'!AG23="",0,'초등학교+병설유치원(7월)'!AG23)</x:f>
        <x:v>0</x:v>
      </x:c>
      <x:c r="J62" s="296" t="n">
        <x:f>SUM(E62:I62)</x:f>
        <x:v>3</x:v>
      </x:c>
      <x:c r="K62" s="291" t="str">
        <x:v>7월</x:v>
      </x:c>
    </x:row>
    <x:row r="63">
      <x:c r="A63" s="291" t="str">
        <x:f>IF('초등학교+병설유치원(7월)'!A23="","",'초등학교+병설유치원(7월)'!A23)</x:f>
        <x:v>12-1</x:v>
      </x:c>
      <x:c r="B63" s="291" t="str">
        <x:v>병설유치원</x:v>
      </x:c>
      <x:c r="C63" s="291" t="str">
        <x:f>IF('초등학교+병설유치원(7월)'!B23="","",'초등학교+병설유치원(7월)'!B23)</x:f>
        <x:v>이리백제초 병설유치원</x:v>
      </x:c>
      <x:c r="D63" s="293" t="n">
        <x:v>46225</x:v>
      </x:c>
      <x:c r="E63" s="294" t="n">
        <x:f>IF('초등학교+병설유치원(7월)'!AI23="",0,'초등학교+병설유치원(7월)'!AI23)</x:f>
        <x:v>3</x:v>
      </x:c>
      <x:c r="F63" s="294" t="n">
        <x:f>IF('초등학교+병설유치원(7월)'!AJ23="",0,'초등학교+병설유치원(7월)'!AJ23)</x:f>
        <x:v>0</x:v>
      </x:c>
      <x:c r="G63" s="294" t="n">
        <x:f>IF('초등학교+병설유치원(7월)'!AK23="",0,'초등학교+병설유치원(7월)'!AK23)</x:f>
        <x:v>0</x:v>
      </x:c>
      <x:c r="H63" s="294" t="n">
        <x:f>IF('초등학교+병설유치원(7월)'!AL23="",0,'초등학교+병설유치원(7월)'!AL23)</x:f>
        <x:v>0</x:v>
      </x:c>
      <x:c r="I63" s="294" t="n">
        <x:f>IF('초등학교+병설유치원(7월)'!AM23="",0,'초등학교+병설유치원(7월)'!AM23)</x:f>
        <x:v>0</x:v>
      </x:c>
      <x:c r="J63" s="296" t="n">
        <x:f>SUM(E63:I63)</x:f>
        <x:v>3</x:v>
      </x:c>
      <x:c r="K63" s="291" t="str">
        <x:v>7월</x:v>
      </x:c>
    </x:row>
    <x:row r="64">
      <x:c r="A64" s="291" t="str">
        <x:f>IF('초등학교+병설유치원(7월)'!A23="","",'초등학교+병설유치원(7월)'!A23)</x:f>
        <x:v>12-1</x:v>
      </x:c>
      <x:c r="B64" s="291" t="str">
        <x:v>병설유치원</x:v>
      </x:c>
      <x:c r="C64" s="291" t="str">
        <x:f>IF('초등학교+병설유치원(7월)'!B23="","",'초등학교+병설유치원(7월)'!B23)</x:f>
        <x:v>이리백제초 병설유치원</x:v>
      </x:c>
      <x:c r="D64" s="293" t="n">
        <x:v>46226</x:v>
      </x:c>
      <x:c r="E64" s="294" t="n">
        <x:f>IF('초등학교+병설유치원(7월)'!AO23="",0,'초등학교+병설유치원(7월)'!AO23)</x:f>
        <x:v>3</x:v>
      </x:c>
      <x:c r="F64" s="294" t="n">
        <x:f>IF('초등학교+병설유치원(7월)'!AP23="",0,'초등학교+병설유치원(7월)'!AP23)</x:f>
        <x:v>0</x:v>
      </x:c>
      <x:c r="G64" s="294" t="n">
        <x:f>IF('초등학교+병설유치원(7월)'!AQ23="",0,'초등학교+병설유치원(7월)'!AQ23)</x:f>
        <x:v>0</x:v>
      </x:c>
      <x:c r="H64" s="294" t="n">
        <x:f>IF('초등학교+병설유치원(7월)'!AR23="",0,'초등학교+병설유치원(7월)'!AR23)</x:f>
        <x:v>0</x:v>
      </x:c>
      <x:c r="I64" s="294" t="n">
        <x:f>IF('초등학교+병설유치원(7월)'!AS23="",0,'초등학교+병설유치원(7월)'!AS23)</x:f>
        <x:v>0</x:v>
      </x:c>
      <x:c r="J64" s="296" t="n">
        <x:f>SUM(E64:I64)</x:f>
        <x:v>3</x:v>
      </x:c>
      <x:c r="K64" s="291" t="str">
        <x:v>7월</x:v>
      </x:c>
    </x:row>
    <x:row r="65">
      <x:c r="A65" s="291" t="str">
        <x:f>IF('초등학교+병설유치원(7월)'!A23="","",'초등학교+병설유치원(7월)'!A23)</x:f>
        <x:v>12-1</x:v>
      </x:c>
      <x:c r="B65" s="291" t="str">
        <x:v>병설유치원</x:v>
      </x:c>
      <x:c r="C65" s="291" t="str">
        <x:f>IF('초등학교+병설유치원(7월)'!B23="","",'초등학교+병설유치원(7월)'!B23)</x:f>
        <x:v>이리백제초 병설유치원</x:v>
      </x:c>
      <x:c r="D65" s="293" t="n">
        <x:v>46227</x:v>
      </x:c>
      <x:c r="E65" s="294" t="n">
        <x:f>IF('초등학교+병설유치원(7월)'!AU23="",0,'초등학교+병설유치원(7월)'!AU23)</x:f>
        <x:v>3</x:v>
      </x:c>
      <x:c r="F65" s="294" t="n">
        <x:f>IF('초등학교+병설유치원(7월)'!AV23="",0,'초등학교+병설유치원(7월)'!AV23)</x:f>
        <x:v>0</x:v>
      </x:c>
      <x:c r="G65" s="294" t="n">
        <x:f>IF('초등학교+병설유치원(7월)'!AW23="",0,'초등학교+병설유치원(7월)'!AW23)</x:f>
        <x:v>0</x:v>
      </x:c>
      <x:c r="H65" s="294" t="n">
        <x:f>IF('초등학교+병설유치원(7월)'!AX23="",0,'초등학교+병설유치원(7월)'!AX23)</x:f>
        <x:v>0</x:v>
      </x:c>
      <x:c r="I65" s="294" t="n">
        <x:f>IF('초등학교+병설유치원(7월)'!AY23="",0,'초등학교+병설유치원(7월)'!AY23)</x:f>
        <x:v>0</x:v>
      </x:c>
      <x:c r="J65" s="296" t="n">
        <x:f>SUM(E65:I65)</x:f>
        <x:v>3</x:v>
      </x:c>
      <x:c r="K65" s="291" t="str">
        <x:v>7월</x:v>
      </x:c>
    </x:row>
    <x:row r="66">
      <x:c r="A66" s="291" t="n">
        <x:f>IF('초등학교+병설유치원(7월)'!A24="","",'초등학교+병설유치원(7월)'!A24)</x:f>
        <x:v>13</x:v>
      </x:c>
      <x:c r="B66" s="291" t="str">
        <x:v>초등학교</x:v>
      </x:c>
      <x:c r="C66" s="291" t="str">
        <x:f>IF('초등학교+병설유치원(7월)'!B24="","",'초등학교+병설유치원(7월)'!B24)</x:f>
        <x:v>이리부송초</x:v>
      </x:c>
      <x:c r="D66" s="293" t="n">
        <x:v>46230</x:v>
      </x:c>
      <x:c r="E66" s="294" t="n">
        <x:f>IF('초등학교+병설유치원(7월)'!BA24="",0,'초등학교+병설유치원(7월)'!BA24)</x:f>
        <x:v>21</x:v>
      </x:c>
      <x:c r="F66" s="294" t="n">
        <x:f>IF('초등학교+병설유치원(7월)'!BB24="",0,'초등학교+병설유치원(7월)'!BB24)</x:f>
        <x:v>15</x:v>
      </x:c>
      <x:c r="G66" s="294" t="n">
        <x:f>IF('초등학교+병설유치원(7월)'!BC24="",0,'초등학교+병설유치원(7월)'!BC24)</x:f>
        <x:v>0</x:v>
      </x:c>
      <x:c r="H66" s="294" t="n">
        <x:f>IF('초등학교+병설유치원(7월)'!BD24="",0,'초등학교+병설유치원(7월)'!BD24)</x:f>
        <x:v>0</x:v>
      </x:c>
      <x:c r="I66" s="294" t="n">
        <x:f>IF('초등학교+병설유치원(7월)'!BE24="",0,'초등학교+병설유치원(7월)'!BE24)</x:f>
        <x:v>0</x:v>
      </x:c>
      <x:c r="J66" s="296" t="n">
        <x:f>SUM(E66:I66)</x:f>
        <x:v>36</x:v>
      </x:c>
      <x:c r="K66" s="291" t="str">
        <x:v>7월</x:v>
      </x:c>
    </x:row>
    <x:row r="67">
      <x:c r="A67" s="291" t="n">
        <x:f>IF('초등학교+병설유치원(7월)'!A24="","",'초등학교+병설유치원(7월)'!A24)</x:f>
        <x:v>13</x:v>
      </x:c>
      <x:c r="B67" s="291" t="str">
        <x:v>초등학교</x:v>
      </x:c>
      <x:c r="C67" s="291" t="str">
        <x:f>IF('초등학교+병설유치원(7월)'!B24="","",'초등학교+병설유치원(7월)'!B24)</x:f>
        <x:v>이리부송초</x:v>
      </x:c>
      <x:c r="D67" s="293" t="n">
        <x:v>46231</x:v>
      </x:c>
      <x:c r="E67" s="294" t="n">
        <x:f>IF('초등학교+병설유치원(7월)'!BG24="",0,'초등학교+병설유치원(7월)'!BG24)</x:f>
        <x:v>21</x:v>
      </x:c>
      <x:c r="F67" s="294" t="n">
        <x:f>IF('초등학교+병설유치원(7월)'!BH24="",0,'초등학교+병설유치원(7월)'!BH24)</x:f>
        <x:v>15</x:v>
      </x:c>
      <x:c r="G67" s="294" t="n">
        <x:f>IF('초등학교+병설유치원(7월)'!BI24="",0,'초등학교+병설유치원(7월)'!BI24)</x:f>
        <x:v>0</x:v>
      </x:c>
      <x:c r="H67" s="294" t="n">
        <x:f>IF('초등학교+병설유치원(7월)'!BJ24="",0,'초등학교+병설유치원(7월)'!BJ24)</x:f>
        <x:v>0</x:v>
      </x:c>
      <x:c r="I67" s="294" t="n">
        <x:f>IF('초등학교+병설유치원(7월)'!BK24="",0,'초등학교+병설유치원(7월)'!BK24)</x:f>
        <x:v>0</x:v>
      </x:c>
      <x:c r="J67" s="296" t="n">
        <x:f>SUM(E67:I67)</x:f>
        <x:v>36</x:v>
      </x:c>
      <x:c r="K67" s="291" t="str">
        <x:v>7월</x:v>
      </x:c>
    </x:row>
    <x:row r="68">
      <x:c r="A68" s="291" t="n">
        <x:f>IF('초등학교+병설유치원(7월)'!A25="","",'초등학교+병설유치원(7월)'!A25)</x:f>
        <x:v>14</x:v>
      </x:c>
      <x:c r="B68" s="291" t="str">
        <x:v>초등학교</x:v>
      </x:c>
      <x:c r="C68" s="291" t="str">
        <x:f>IF('초등학교+병설유치원(7월)'!B25="","",'초등학교+병설유치원(7월)'!B25)</x:f>
        <x:v>이리부천초</x:v>
      </x:c>
      <x:c r="D68" s="293" t="n">
        <x:v>46232</x:v>
      </x:c>
      <x:c r="E68" s="294" t="n">
        <x:f>IF('초등학교+병설유치원(7월)'!BM25="",0,'초등학교+병설유치원(7월)'!BM25)</x:f>
        <x:v>20</x:v>
      </x:c>
      <x:c r="F68" s="294" t="n">
        <x:f>IF('초등학교+병설유치원(7월)'!BN25="",0,'초등학교+병설유치원(7월)'!BN25)</x:f>
        <x:v>19</x:v>
      </x:c>
      <x:c r="G68" s="294" t="n">
        <x:f>IF('초등학교+병설유치원(7월)'!BO25="",0,'초등학교+병설유치원(7월)'!BO25)</x:f>
        <x:v>0</x:v>
      </x:c>
      <x:c r="H68" s="294" t="n">
        <x:f>IF('초등학교+병설유치원(7월)'!BP25="",0,'초등학교+병설유치원(7월)'!BP25)</x:f>
        <x:v>0</x:v>
      </x:c>
      <x:c r="I68" s="294" t="n">
        <x:f>IF('초등학교+병설유치원(7월)'!BQ25="",0,'초등학교+병설유치원(7월)'!BQ25)</x:f>
        <x:v>0</x:v>
      </x:c>
      <x:c r="J68" s="296" t="n">
        <x:f>SUM(E68:I68)</x:f>
        <x:v>39</x:v>
      </x:c>
      <x:c r="K68" s="291" t="str">
        <x:v>7월</x:v>
      </x:c>
    </x:row>
    <x:row r="69">
      <x:c r="A69" s="291" t="n">
        <x:f>IF('초등학교+병설유치원(7월)'!A25="","",'초등학교+병설유치원(7월)'!A25)</x:f>
        <x:v>14</x:v>
      </x:c>
      <x:c r="B69" s="291" t="str">
        <x:v>초등학교</x:v>
      </x:c>
      <x:c r="C69" s="291" t="str">
        <x:f>IF('초등학교+병설유치원(7월)'!B25="","",'초등학교+병설유치원(7월)'!B25)</x:f>
        <x:v>이리부천초</x:v>
      </x:c>
      <x:c r="D69" s="293" t="n">
        <x:v>46233</x:v>
      </x:c>
      <x:c r="E69" s="294" t="n">
        <x:f>IF('초등학교+병설유치원(7월)'!BS25="",0,'초등학교+병설유치원(7월)'!BS25)</x:f>
        <x:v>20</x:v>
      </x:c>
      <x:c r="F69" s="294" t="n">
        <x:f>IF('초등학교+병설유치원(7월)'!BT25="",0,'초등학교+병설유치원(7월)'!BT25)</x:f>
        <x:v>19</x:v>
      </x:c>
      <x:c r="G69" s="294" t="n">
        <x:f>IF('초등학교+병설유치원(7월)'!BU25="",0,'초등학교+병설유치원(7월)'!BU25)</x:f>
        <x:v>0</x:v>
      </x:c>
      <x:c r="H69" s="294" t="n">
        <x:f>IF('초등학교+병설유치원(7월)'!BV25="",0,'초등학교+병설유치원(7월)'!BV25)</x:f>
        <x:v>0</x:v>
      </x:c>
      <x:c r="I69" s="294" t="n">
        <x:f>IF('초등학교+병설유치원(7월)'!BW25="",0,'초등학교+병설유치원(7월)'!BW25)</x:f>
        <x:v>0</x:v>
      </x:c>
      <x:c r="J69" s="296" t="n">
        <x:f>SUM(E69:I69)</x:f>
        <x:v>39</x:v>
      </x:c>
      <x:c r="K69" s="291" t="str">
        <x:v>7월</x:v>
      </x:c>
    </x:row>
    <x:row r="70">
      <x:c r="A70" s="291" t="n">
        <x:f>IF('초등학교+병설유치원(7월)'!A25="","",'초등학교+병설유치원(7월)'!A25)</x:f>
        <x:v>14</x:v>
      </x:c>
      <x:c r="B70" s="291" t="str">
        <x:v>초등학교</x:v>
      </x:c>
      <x:c r="C70" s="291" t="str">
        <x:f>IF('초등학교+병설유치원(7월)'!B25="","",'초등학교+병설유치원(7월)'!B25)</x:f>
        <x:v>이리부천초</x:v>
      </x:c>
      <x:c r="D70" s="293" t="n">
        <x:v>46234</x:v>
      </x:c>
      <x:c r="E70" s="294" t="n">
        <x:f>IF('초등학교+병설유치원(7월)'!BY25="",0,'초등학교+병설유치원(7월)'!BY25)</x:f>
        <x:v>20</x:v>
      </x:c>
      <x:c r="F70" s="294" t="n">
        <x:f>IF('초등학교+병설유치원(7월)'!BZ25="",0,'초등학교+병설유치원(7월)'!BZ25)</x:f>
        <x:v>19</x:v>
      </x:c>
      <x:c r="G70" s="294" t="n">
        <x:f>IF('초등학교+병설유치원(7월)'!CA25="",0,'초등학교+병설유치원(7월)'!CA25)</x:f>
        <x:v>0</x:v>
      </x:c>
      <x:c r="H70" s="294" t="n">
        <x:f>IF('초등학교+병설유치원(7월)'!CB25="",0,'초등학교+병설유치원(7월)'!CB25)</x:f>
        <x:v>0</x:v>
      </x:c>
      <x:c r="I70" s="294" t="n">
        <x:f>IF('초등학교+병설유치원(7월)'!CC25="",0,'초등학교+병설유치원(7월)'!CC25)</x:f>
        <x:v>0</x:v>
      </x:c>
      <x:c r="J70" s="296" t="n">
        <x:f>SUM(E70:I70)</x:f>
        <x:v>39</x:v>
      </x:c>
      <x:c r="K70" s="291" t="str">
        <x:v>7월</x:v>
      </x:c>
    </x:row>
    <x:row r="71">
      <x:c r="A71" s="291" t="str">
        <x:f>IF('초등학교+병설유치원(7월)'!A26="","",'초등학교+병설유치원(7월)'!A26)</x:f>
        <x:v>14-1</x:v>
      </x:c>
      <x:c r="B71" s="291" t="str">
        <x:v>병설유치원</x:v>
      </x:c>
      <x:c r="C71" s="291" t="str">
        <x:f>IF('초등학교+병설유치원(7월)'!B26="","",'초등학교+병설유치원(7월)'!B26)</x:f>
        <x:v>이리부천초 병설유치원</x:v>
      </x:c>
      <x:c r="D71" s="293" t="n">
        <x:v>46230</x:v>
      </x:c>
      <x:c r="E71" s="294" t="n">
        <x:f>IF('초등학교+병설유치원(7월)'!BA26="",0,'초등학교+병설유치원(7월)'!BA26)</x:f>
        <x:v>12</x:v>
      </x:c>
      <x:c r="F71" s="294" t="n">
        <x:f>IF('초등학교+병설유치원(7월)'!BB26="",0,'초등학교+병설유치원(7월)'!BB26)</x:f>
        <x:v>0</x:v>
      </x:c>
      <x:c r="G71" s="294" t="n">
        <x:f>IF('초등학교+병설유치원(7월)'!BC26="",0,'초등학교+병설유치원(7월)'!BC26)</x:f>
        <x:v>0</x:v>
      </x:c>
      <x:c r="H71" s="294" t="n">
        <x:f>IF('초등학교+병설유치원(7월)'!BD26="",0,'초등학교+병설유치원(7월)'!BD26)</x:f>
        <x:v>0</x:v>
      </x:c>
      <x:c r="I71" s="294" t="n">
        <x:f>IF('초등학교+병설유치원(7월)'!BE26="",0,'초등학교+병설유치원(7월)'!BE26)</x:f>
        <x:v>0</x:v>
      </x:c>
      <x:c r="J71" s="296" t="n">
        <x:f>SUM(E71:I71)</x:f>
        <x:v>12</x:v>
      </x:c>
      <x:c r="K71" s="291" t="str">
        <x:v>7월</x:v>
      </x:c>
    </x:row>
    <x:row r="72">
      <x:c r="A72" s="291" t="str">
        <x:f>IF('초등학교+병설유치원(7월)'!A26="","",'초등학교+병설유치원(7월)'!A26)</x:f>
        <x:v>14-1</x:v>
      </x:c>
      <x:c r="B72" s="291" t="str">
        <x:v>병설유치원</x:v>
      </x:c>
      <x:c r="C72" s="291" t="str">
        <x:f>IF('초등학교+병설유치원(7월)'!B26="","",'초등학교+병설유치원(7월)'!B26)</x:f>
        <x:v>이리부천초 병설유치원</x:v>
      </x:c>
      <x:c r="D72" s="293" t="n">
        <x:v>46231</x:v>
      </x:c>
      <x:c r="E72" s="294" t="n">
        <x:f>IF('초등학교+병설유치원(7월)'!BG26="",0,'초등학교+병설유치원(7월)'!BG26)</x:f>
        <x:v>12</x:v>
      </x:c>
      <x:c r="F72" s="294" t="n">
        <x:f>IF('초등학교+병설유치원(7월)'!BH26="",0,'초등학교+병설유치원(7월)'!BH26)</x:f>
        <x:v>0</x:v>
      </x:c>
      <x:c r="G72" s="294" t="n">
        <x:f>IF('초등학교+병설유치원(7월)'!BI26="",0,'초등학교+병설유치원(7월)'!BI26)</x:f>
        <x:v>0</x:v>
      </x:c>
      <x:c r="H72" s="294" t="n">
        <x:f>IF('초등학교+병설유치원(7월)'!BJ26="",0,'초등학교+병설유치원(7월)'!BJ26)</x:f>
        <x:v>0</x:v>
      </x:c>
      <x:c r="I72" s="294" t="n">
        <x:f>IF('초등학교+병설유치원(7월)'!BK26="",0,'초등학교+병설유치원(7월)'!BK26)</x:f>
        <x:v>0</x:v>
      </x:c>
      <x:c r="J72" s="296" t="n">
        <x:f>SUM(E72:I72)</x:f>
        <x:v>12</x:v>
      </x:c>
      <x:c r="K72" s="291" t="str">
        <x:v>7월</x:v>
      </x:c>
    </x:row>
    <x:row r="73">
      <x:c r="A73" s="291" t="str">
        <x:f>IF('초등학교+병설유치원(7월)'!A26="","",'초등학교+병설유치원(7월)'!A26)</x:f>
        <x:v>14-1</x:v>
      </x:c>
      <x:c r="B73" s="291" t="str">
        <x:v>병설유치원</x:v>
      </x:c>
      <x:c r="C73" s="291" t="str">
        <x:f>IF('초등학교+병설유치원(7월)'!B26="","",'초등학교+병설유치원(7월)'!B26)</x:f>
        <x:v>이리부천초 병설유치원</x:v>
      </x:c>
      <x:c r="D73" s="293" t="n">
        <x:v>46232</x:v>
      </x:c>
      <x:c r="E73" s="294" t="n">
        <x:f>IF('초등학교+병설유치원(7월)'!BM26="",0,'초등학교+병설유치원(7월)'!BM26)</x:f>
        <x:v>11</x:v>
      </x:c>
      <x:c r="F73" s="294" t="n">
        <x:f>IF('초등학교+병설유치원(7월)'!BN26="",0,'초등학교+병설유치원(7월)'!BN26)</x:f>
        <x:v>0</x:v>
      </x:c>
      <x:c r="G73" s="294" t="n">
        <x:f>IF('초등학교+병설유치원(7월)'!BO26="",0,'초등학교+병설유치원(7월)'!BO26)</x:f>
        <x:v>0</x:v>
      </x:c>
      <x:c r="H73" s="294" t="n">
        <x:f>IF('초등학교+병설유치원(7월)'!BP26="",0,'초등학교+병설유치원(7월)'!BP26)</x:f>
        <x:v>0</x:v>
      </x:c>
      <x:c r="I73" s="294" t="n">
        <x:f>IF('초등학교+병설유치원(7월)'!BQ26="",0,'초등학교+병설유치원(7월)'!BQ26)</x:f>
        <x:v>0</x:v>
      </x:c>
      <x:c r="J73" s="296" t="n">
        <x:f>SUM(E73:I73)</x:f>
        <x:v>11</x:v>
      </x:c>
      <x:c r="K73" s="291" t="str">
        <x:v>7월</x:v>
      </x:c>
    </x:row>
    <x:row r="74">
      <x:c r="A74" s="291" t="str">
        <x:f>IF('초등학교+병설유치원(7월)'!A26="","",'초등학교+병설유치원(7월)'!A26)</x:f>
        <x:v>14-1</x:v>
      </x:c>
      <x:c r="B74" s="291" t="str">
        <x:v>병설유치원</x:v>
      </x:c>
      <x:c r="C74" s="291" t="str">
        <x:f>IF('초등학교+병설유치원(7월)'!B26="","",'초등학교+병설유치원(7월)'!B26)</x:f>
        <x:v>이리부천초 병설유치원</x:v>
      </x:c>
      <x:c r="D74" s="293" t="n">
        <x:v>46233</x:v>
      </x:c>
      <x:c r="E74" s="294" t="n">
        <x:f>IF('초등학교+병설유치원(7월)'!BS26="",0,'초등학교+병설유치원(7월)'!BS26)</x:f>
        <x:v>11</x:v>
      </x:c>
      <x:c r="F74" s="294" t="n">
        <x:f>IF('초등학교+병설유치원(7월)'!BT26="",0,'초등학교+병설유치원(7월)'!BT26)</x:f>
        <x:v>0</x:v>
      </x:c>
      <x:c r="G74" s="294" t="n">
        <x:f>IF('초등학교+병설유치원(7월)'!BU26="",0,'초등학교+병설유치원(7월)'!BU26)</x:f>
        <x:v>0</x:v>
      </x:c>
      <x:c r="H74" s="294" t="n">
        <x:f>IF('초등학교+병설유치원(7월)'!BV26="",0,'초등학교+병설유치원(7월)'!BV26)</x:f>
        <x:v>0</x:v>
      </x:c>
      <x:c r="I74" s="294" t="n">
        <x:f>IF('초등학교+병설유치원(7월)'!BW26="",0,'초등학교+병설유치원(7월)'!BW26)</x:f>
        <x:v>0</x:v>
      </x:c>
      <x:c r="J74" s="296" t="n">
        <x:f>SUM(E74:I74)</x:f>
        <x:v>11</x:v>
      </x:c>
      <x:c r="K74" s="291" t="str">
        <x:v>7월</x:v>
      </x:c>
    </x:row>
    <x:row r="75">
      <x:c r="A75" s="291" t="str">
        <x:f>IF('초등학교+병설유치원(7월)'!A26="","",'초등학교+병설유치원(7월)'!A26)</x:f>
        <x:v>14-1</x:v>
      </x:c>
      <x:c r="B75" s="291" t="str">
        <x:v>병설유치원</x:v>
      </x:c>
      <x:c r="C75" s="291" t="str">
        <x:f>IF('초등학교+병설유치원(7월)'!B26="","",'초등학교+병설유치원(7월)'!B26)</x:f>
        <x:v>이리부천초 병설유치원</x:v>
      </x:c>
      <x:c r="D75" s="293" t="n">
        <x:v>46234</x:v>
      </x:c>
      <x:c r="E75" s="294" t="n">
        <x:f>IF('초등학교+병설유치원(7월)'!BY26="",0,'초등학교+병설유치원(7월)'!BY26)</x:f>
        <x:v>11</x:v>
      </x:c>
      <x:c r="F75" s="294" t="n">
        <x:f>IF('초등학교+병설유치원(7월)'!BZ26="",0,'초등학교+병설유치원(7월)'!BZ26)</x:f>
        <x:v>0</x:v>
      </x:c>
      <x:c r="G75" s="294" t="n">
        <x:f>IF('초등학교+병설유치원(7월)'!CA26="",0,'초등학교+병설유치원(7월)'!CA26)</x:f>
        <x:v>0</x:v>
      </x:c>
      <x:c r="H75" s="294" t="n">
        <x:f>IF('초등학교+병설유치원(7월)'!CB26="",0,'초등학교+병설유치원(7월)'!CB26)</x:f>
        <x:v>0</x:v>
      </x:c>
      <x:c r="I75" s="294" t="n">
        <x:f>IF('초등학교+병설유치원(7월)'!CC26="",0,'초등학교+병설유치원(7월)'!CC26)</x:f>
        <x:v>0</x:v>
      </x:c>
      <x:c r="J75" s="296" t="n">
        <x:f>SUM(E75:I75)</x:f>
        <x:v>11</x:v>
      </x:c>
      <x:c r="K75" s="291" t="str">
        <x:v>7월</x:v>
      </x:c>
    </x:row>
    <x:row r="76">
      <x:c r="A76" s="291" t="n">
        <x:f>IF('초등학교+병설유치원(7월)'!A27="","",'초등학교+병설유치원(7월)'!A27)</x:f>
        <x:v>15</x:v>
      </x:c>
      <x:c r="B76" s="291" t="str">
        <x:v>초등학교</x:v>
      </x:c>
      <x:c r="C76" s="291" t="str">
        <x:f>IF('초등학교+병설유치원(7월)'!B27="","",'초등학교+병설유치원(7월)'!B27)</x:f>
        <x:v>이리북일초</x:v>
      </x:c>
      <x:c r="D76" s="293" t="n">
        <x:v>46232</x:v>
      </x:c>
      <x:c r="E76" s="294" t="n">
        <x:f>IF('초등학교+병설유치원(7월)'!BM27="",0,'초등학교+병설유치원(7월)'!BM27)</x:f>
        <x:v>16</x:v>
      </x:c>
      <x:c r="F76" s="294" t="n">
        <x:f>IF('초등학교+병설유치원(7월)'!BN27="",0,'초등학교+병설유치원(7월)'!BN27)</x:f>
        <x:v>0</x:v>
      </x:c>
      <x:c r="G76" s="294" t="n">
        <x:f>IF('초등학교+병설유치원(7월)'!BO27="",0,'초등학교+병설유치원(7월)'!BO27)</x:f>
        <x:v>0</x:v>
      </x:c>
      <x:c r="H76" s="294" t="n">
        <x:f>IF('초등학교+병설유치원(7월)'!BP27="",0,'초등학교+병설유치원(7월)'!BP27)</x:f>
        <x:v>0</x:v>
      </x:c>
      <x:c r="I76" s="294" t="n">
        <x:f>IF('초등학교+병설유치원(7월)'!BQ27="",0,'초등학교+병설유치원(7월)'!BQ27)</x:f>
        <x:v>0</x:v>
      </x:c>
      <x:c r="J76" s="296" t="n">
        <x:f>SUM(E76:I76)</x:f>
        <x:v>16</x:v>
      </x:c>
      <x:c r="K76" s="291" t="str">
        <x:v>7월</x:v>
      </x:c>
    </x:row>
    <x:row r="77">
      <x:c r="A77" s="291" t="n">
        <x:f>IF('초등학교+병설유치원(7월)'!A28="","",'초등학교+병설유치원(7월)'!A28)</x:f>
        <x:v>16</x:v>
      </x:c>
      <x:c r="B77" s="291" t="str">
        <x:v>초등학교</x:v>
      </x:c>
      <x:c r="C77" s="291" t="str">
        <x:f>IF('초등학교+병설유치원(7월)'!B28="","",'초등학교+병설유치원(7월)'!B28)</x:f>
        <x:v>이리북초</x:v>
      </x:c>
      <x:c r="D77" s="293" t="n">
        <x:v>46230</x:v>
      </x:c>
      <x:c r="E77" s="294" t="n">
        <x:f>IF('초등학교+병설유치원(7월)'!BA28="",0,'초등학교+병설유치원(7월)'!BA28)</x:f>
        <x:v>17</x:v>
      </x:c>
      <x:c r="F77" s="294" t="n">
        <x:f>IF('초등학교+병설유치원(7월)'!BB28="",0,'초등학교+병설유치원(7월)'!BB28)</x:f>
        <x:v>0</x:v>
      </x:c>
      <x:c r="G77" s="294" t="n">
        <x:f>IF('초등학교+병설유치원(7월)'!BC28="",0,'초등학교+병설유치원(7월)'!BC28)</x:f>
        <x:v>0</x:v>
      </x:c>
      <x:c r="H77" s="294" t="n">
        <x:f>IF('초등학교+병설유치원(7월)'!BD28="",0,'초등학교+병설유치원(7월)'!BD28)</x:f>
        <x:v>0</x:v>
      </x:c>
      <x:c r="I77" s="294" t="n">
        <x:f>IF('초등학교+병설유치원(7월)'!BE28="",0,'초등학교+병설유치원(7월)'!BE28)</x:f>
        <x:v>0</x:v>
      </x:c>
      <x:c r="J77" s="296" t="n">
        <x:f>SUM(E77:I77)</x:f>
        <x:v>17</x:v>
      </x:c>
      <x:c r="K77" s="291" t="str">
        <x:v>7월</x:v>
      </x:c>
    </x:row>
    <x:row r="78">
      <x:c r="A78" s="291" t="n">
        <x:f>IF('초등학교+병설유치원(7월)'!A28="","",'초등학교+병설유치원(7월)'!A28)</x:f>
        <x:v>16</x:v>
      </x:c>
      <x:c r="B78" s="291" t="str">
        <x:v>초등학교</x:v>
      </x:c>
      <x:c r="C78" s="291" t="str">
        <x:f>IF('초등학교+병설유치원(7월)'!B28="","",'초등학교+병설유치원(7월)'!B28)</x:f>
        <x:v>이리북초</x:v>
      </x:c>
      <x:c r="D78" s="293" t="n">
        <x:v>46231</x:v>
      </x:c>
      <x:c r="E78" s="294" t="n">
        <x:f>IF('초등학교+병설유치원(7월)'!BG28="",0,'초등학교+병설유치원(7월)'!BG28)</x:f>
        <x:v>17</x:v>
      </x:c>
      <x:c r="F78" s="294" t="n">
        <x:f>IF('초등학교+병설유치원(7월)'!BH28="",0,'초등학교+병설유치원(7월)'!BH28)</x:f>
        <x:v>0</x:v>
      </x:c>
      <x:c r="G78" s="294" t="n">
        <x:f>IF('초등학교+병설유치원(7월)'!BI28="",0,'초등학교+병설유치원(7월)'!BI28)</x:f>
        <x:v>0</x:v>
      </x:c>
      <x:c r="H78" s="294" t="n">
        <x:f>IF('초등학교+병설유치원(7월)'!BJ28="",0,'초등학교+병설유치원(7월)'!BJ28)</x:f>
        <x:v>0</x:v>
      </x:c>
      <x:c r="I78" s="294" t="n">
        <x:f>IF('초등학교+병설유치원(7월)'!BK28="",0,'초등학교+병설유치원(7월)'!BK28)</x:f>
        <x:v>0</x:v>
      </x:c>
      <x:c r="J78" s="296" t="n">
        <x:f>SUM(E78:I78)</x:f>
        <x:v>17</x:v>
      </x:c>
      <x:c r="K78" s="291" t="str">
        <x:v>7월</x:v>
      </x:c>
    </x:row>
    <x:row r="79">
      <x:c r="A79" s="291" t="n">
        <x:f>IF('초등학교+병설유치원(7월)'!A28="","",'초등학교+병설유치원(7월)'!A28)</x:f>
        <x:v>16</x:v>
      </x:c>
      <x:c r="B79" s="291" t="str">
        <x:v>초등학교</x:v>
      </x:c>
      <x:c r="C79" s="291" t="str">
        <x:f>IF('초등학교+병설유치원(7월)'!B28="","",'초등학교+병설유치원(7월)'!B28)</x:f>
        <x:v>이리북초</x:v>
      </x:c>
      <x:c r="D79" s="293" t="n">
        <x:v>46232</x:v>
      </x:c>
      <x:c r="E79" s="294" t="n">
        <x:f>IF('초등학교+병설유치원(7월)'!BM28="",0,'초등학교+병설유치원(7월)'!BM28)</x:f>
        <x:v>17</x:v>
      </x:c>
      <x:c r="F79" s="294" t="n">
        <x:f>IF('초등학교+병설유치원(7월)'!BN28="",0,'초등학교+병설유치원(7월)'!BN28)</x:f>
        <x:v>0</x:v>
      </x:c>
      <x:c r="G79" s="294" t="n">
        <x:f>IF('초등학교+병설유치원(7월)'!BO28="",0,'초등학교+병설유치원(7월)'!BO28)</x:f>
        <x:v>0</x:v>
      </x:c>
      <x:c r="H79" s="294" t="n">
        <x:f>IF('초등학교+병설유치원(7월)'!BP28="",0,'초등학교+병설유치원(7월)'!BP28)</x:f>
        <x:v>0</x:v>
      </x:c>
      <x:c r="I79" s="294" t="n">
        <x:f>IF('초등학교+병설유치원(7월)'!BQ28="",0,'초등학교+병설유치원(7월)'!BQ28)</x:f>
        <x:v>0</x:v>
      </x:c>
      <x:c r="J79" s="296" t="n">
        <x:f>SUM(E79:I79)</x:f>
        <x:v>17</x:v>
      </x:c>
      <x:c r="K79" s="291" t="str">
        <x:v>7월</x:v>
      </x:c>
    </x:row>
    <x:row r="80">
      <x:c r="A80" s="291" t="n">
        <x:f>IF('초등학교+병설유치원(7월)'!A28="","",'초등학교+병설유치원(7월)'!A28)</x:f>
        <x:v>16</x:v>
      </x:c>
      <x:c r="B80" s="291" t="str">
        <x:v>초등학교</x:v>
      </x:c>
      <x:c r="C80" s="291" t="str">
        <x:f>IF('초등학교+병설유치원(7월)'!B28="","",'초등학교+병설유치원(7월)'!B28)</x:f>
        <x:v>이리북초</x:v>
      </x:c>
      <x:c r="D80" s="293" t="n">
        <x:v>46233</x:v>
      </x:c>
      <x:c r="E80" s="294" t="n">
        <x:f>IF('초등학교+병설유치원(7월)'!BS28="",0,'초등학교+병설유치원(7월)'!BS28)</x:f>
        <x:v>17</x:v>
      </x:c>
      <x:c r="F80" s="294" t="n">
        <x:f>IF('초등학교+병설유치원(7월)'!BT28="",0,'초등학교+병설유치원(7월)'!BT28)</x:f>
        <x:v>0</x:v>
      </x:c>
      <x:c r="G80" s="294" t="n">
        <x:f>IF('초등학교+병설유치원(7월)'!BU28="",0,'초등학교+병설유치원(7월)'!BU28)</x:f>
        <x:v>0</x:v>
      </x:c>
      <x:c r="H80" s="294" t="n">
        <x:f>IF('초등학교+병설유치원(7월)'!BV28="",0,'초등학교+병설유치원(7월)'!BV28)</x:f>
        <x:v>0</x:v>
      </x:c>
      <x:c r="I80" s="294" t="n">
        <x:f>IF('초등학교+병설유치원(7월)'!BW28="",0,'초등학교+병설유치원(7월)'!BW28)</x:f>
        <x:v>0</x:v>
      </x:c>
      <x:c r="J80" s="296" t="n">
        <x:f>SUM(E80:I80)</x:f>
        <x:v>17</x:v>
      </x:c>
      <x:c r="K80" s="291" t="str">
        <x:v>7월</x:v>
      </x:c>
    </x:row>
    <x:row r="81">
      <x:c r="A81" s="291" t="n">
        <x:f>IF('초등학교+병설유치원(7월)'!A28="","",'초등학교+병설유치원(7월)'!A28)</x:f>
        <x:v>16</x:v>
      </x:c>
      <x:c r="B81" s="291" t="str">
        <x:v>초등학교</x:v>
      </x:c>
      <x:c r="C81" s="291" t="str">
        <x:f>IF('초등학교+병설유치원(7월)'!B28="","",'초등학교+병설유치원(7월)'!B28)</x:f>
        <x:v>이리북초</x:v>
      </x:c>
      <x:c r="D81" s="293" t="n">
        <x:v>46234</x:v>
      </x:c>
      <x:c r="E81" s="294" t="n">
        <x:f>IF('초등학교+병설유치원(7월)'!BY28="",0,'초등학교+병설유치원(7월)'!BY28)</x:f>
        <x:v>17</x:v>
      </x:c>
      <x:c r="F81" s="294" t="n">
        <x:f>IF('초등학교+병설유치원(7월)'!BZ28="",0,'초등학교+병설유치원(7월)'!BZ28)</x:f>
        <x:v>0</x:v>
      </x:c>
      <x:c r="G81" s="294" t="n">
        <x:f>IF('초등학교+병설유치원(7월)'!CA28="",0,'초등학교+병설유치원(7월)'!CA28)</x:f>
        <x:v>0</x:v>
      </x:c>
      <x:c r="H81" s="294" t="n">
        <x:f>IF('초등학교+병설유치원(7월)'!CB28="",0,'초등학교+병설유치원(7월)'!CB28)</x:f>
        <x:v>0</x:v>
      </x:c>
      <x:c r="I81" s="294" t="n">
        <x:f>IF('초등학교+병설유치원(7월)'!CC28="",0,'초등학교+병설유치원(7월)'!CC28)</x:f>
        <x:v>0</x:v>
      </x:c>
      <x:c r="J81" s="296" t="n">
        <x:f>SUM(E81:I81)</x:f>
        <x:v>17</x:v>
      </x:c>
      <x:c r="K81" s="291" t="str">
        <x:v>7월</x:v>
      </x:c>
    </x:row>
    <x:row r="82">
      <x:c r="A82" s="291" t="str">
        <x:f>IF('초등학교+병설유치원(7월)'!A29="","",'초등학교+병설유치원(7월)'!A29)</x:f>
        <x:v>16-1</x:v>
      </x:c>
      <x:c r="B82" s="291" t="str">
        <x:v>병설유치원</x:v>
      </x:c>
      <x:c r="C82" s="291" t="str">
        <x:f>IF('초등학교+병설유치원(7월)'!B29="","",'초등학교+병설유치원(7월)'!B29)</x:f>
        <x:v>이리북초 병설유치원</x:v>
      </x:c>
      <x:c r="D82" s="293" t="n">
        <x:v>46230</x:v>
      </x:c>
      <x:c r="E82" s="294" t="n">
        <x:f>IF('초등학교+병설유치원(7월)'!BA29="",0,'초등학교+병설유치원(7월)'!BA29)</x:f>
        <x:v>3</x:v>
      </x:c>
      <x:c r="F82" s="294" t="n">
        <x:f>IF('초등학교+병설유치원(7월)'!BB29="",0,'초등학교+병설유치원(7월)'!BB29)</x:f>
        <x:v>0</x:v>
      </x:c>
      <x:c r="G82" s="294" t="n">
        <x:f>IF('초등학교+병설유치원(7월)'!BC29="",0,'초등학교+병설유치원(7월)'!BC29)</x:f>
        <x:v>0</x:v>
      </x:c>
      <x:c r="H82" s="294" t="n">
        <x:f>IF('초등학교+병설유치원(7월)'!BD29="",0,'초등학교+병설유치원(7월)'!BD29)</x:f>
        <x:v>0</x:v>
      </x:c>
      <x:c r="I82" s="294" t="n">
        <x:f>IF('초등학교+병설유치원(7월)'!BE29="",0,'초등학교+병설유치원(7월)'!BE29)</x:f>
        <x:v>0</x:v>
      </x:c>
      <x:c r="J82" s="296" t="n">
        <x:f>SUM(E82:I82)</x:f>
        <x:v>3</x:v>
      </x:c>
      <x:c r="K82" s="291" t="str">
        <x:v>7월</x:v>
      </x:c>
    </x:row>
    <x:row r="83">
      <x:c r="A83" s="291" t="str">
        <x:f>IF('초등학교+병설유치원(7월)'!A29="","",'초등학교+병설유치원(7월)'!A29)</x:f>
        <x:v>16-1</x:v>
      </x:c>
      <x:c r="B83" s="291" t="str">
        <x:v>병설유치원</x:v>
      </x:c>
      <x:c r="C83" s="291" t="str">
        <x:f>IF('초등학교+병설유치원(7월)'!B29="","",'초등학교+병설유치원(7월)'!B29)</x:f>
        <x:v>이리북초 병설유치원</x:v>
      </x:c>
      <x:c r="D83" s="293" t="n">
        <x:v>46231</x:v>
      </x:c>
      <x:c r="E83" s="294" t="n">
        <x:f>IF('초등학교+병설유치원(7월)'!BG29="",0,'초등학교+병설유치원(7월)'!BG29)</x:f>
        <x:v>3</x:v>
      </x:c>
      <x:c r="F83" s="294" t="n">
        <x:f>IF('초등학교+병설유치원(7월)'!BH29="",0,'초등학교+병설유치원(7월)'!BH29)</x:f>
        <x:v>0</x:v>
      </x:c>
      <x:c r="G83" s="294" t="n">
        <x:f>IF('초등학교+병설유치원(7월)'!BI29="",0,'초등학교+병설유치원(7월)'!BI29)</x:f>
        <x:v>0</x:v>
      </x:c>
      <x:c r="H83" s="294" t="n">
        <x:f>IF('초등학교+병설유치원(7월)'!BJ29="",0,'초등학교+병설유치원(7월)'!BJ29)</x:f>
        <x:v>0</x:v>
      </x:c>
      <x:c r="I83" s="294" t="n">
        <x:f>IF('초등학교+병설유치원(7월)'!BK29="",0,'초등학교+병설유치원(7월)'!BK29)</x:f>
        <x:v>0</x:v>
      </x:c>
      <x:c r="J83" s="296" t="n">
        <x:f>SUM(E83:I83)</x:f>
        <x:v>3</x:v>
      </x:c>
      <x:c r="K83" s="291" t="str">
        <x:v>7월</x:v>
      </x:c>
    </x:row>
    <x:row r="84">
      <x:c r="A84" s="291" t="str">
        <x:f>IF('초등학교+병설유치원(7월)'!A29="","",'초등학교+병설유치원(7월)'!A29)</x:f>
        <x:v>16-1</x:v>
      </x:c>
      <x:c r="B84" s="291" t="str">
        <x:v>병설유치원</x:v>
      </x:c>
      <x:c r="C84" s="291" t="str">
        <x:f>IF('초등학교+병설유치원(7월)'!B29="","",'초등학교+병설유치원(7월)'!B29)</x:f>
        <x:v>이리북초 병설유치원</x:v>
      </x:c>
      <x:c r="D84" s="293" t="n">
        <x:v>46232</x:v>
      </x:c>
      <x:c r="E84" s="294" t="n">
        <x:f>IF('초등학교+병설유치원(7월)'!BM29="",0,'초등학교+병설유치원(7월)'!BM29)</x:f>
        <x:v>3</x:v>
      </x:c>
      <x:c r="F84" s="294" t="n">
        <x:f>IF('초등학교+병설유치원(7월)'!BN29="",0,'초등학교+병설유치원(7월)'!BN29)</x:f>
        <x:v>0</x:v>
      </x:c>
      <x:c r="G84" s="294" t="n">
        <x:f>IF('초등학교+병설유치원(7월)'!BO29="",0,'초등학교+병설유치원(7월)'!BO29)</x:f>
        <x:v>0</x:v>
      </x:c>
      <x:c r="H84" s="294" t="n">
        <x:f>IF('초등학교+병설유치원(7월)'!BP29="",0,'초등학교+병설유치원(7월)'!BP29)</x:f>
        <x:v>0</x:v>
      </x:c>
      <x:c r="I84" s="294" t="n">
        <x:f>IF('초등학교+병설유치원(7월)'!BQ29="",0,'초등학교+병설유치원(7월)'!BQ29)</x:f>
        <x:v>0</x:v>
      </x:c>
      <x:c r="J84" s="296" t="n">
        <x:f>SUM(E84:I84)</x:f>
        <x:v>3</x:v>
      </x:c>
      <x:c r="K84" s="291" t="str">
        <x:v>7월</x:v>
      </x:c>
    </x:row>
    <x:row r="85">
      <x:c r="A85" s="291" t="str">
        <x:f>IF('초등학교+병설유치원(7월)'!A29="","",'초등학교+병설유치원(7월)'!A29)</x:f>
        <x:v>16-1</x:v>
      </x:c>
      <x:c r="B85" s="291" t="str">
        <x:v>병설유치원</x:v>
      </x:c>
      <x:c r="C85" s="291" t="str">
        <x:f>IF('초등학교+병설유치원(7월)'!B29="","",'초등학교+병설유치원(7월)'!B29)</x:f>
        <x:v>이리북초 병설유치원</x:v>
      </x:c>
      <x:c r="D85" s="293" t="n">
        <x:v>46233</x:v>
      </x:c>
      <x:c r="E85" s="294" t="n">
        <x:f>IF('초등학교+병설유치원(7월)'!BS29="",0,'초등학교+병설유치원(7월)'!BS29)</x:f>
        <x:v>3</x:v>
      </x:c>
      <x:c r="F85" s="294" t="n">
        <x:f>IF('초등학교+병설유치원(7월)'!BT29="",0,'초등학교+병설유치원(7월)'!BT29)</x:f>
        <x:v>0</x:v>
      </x:c>
      <x:c r="G85" s="294" t="n">
        <x:f>IF('초등학교+병설유치원(7월)'!BU29="",0,'초등학교+병설유치원(7월)'!BU29)</x:f>
        <x:v>0</x:v>
      </x:c>
      <x:c r="H85" s="294" t="n">
        <x:f>IF('초등학교+병설유치원(7월)'!BV29="",0,'초등학교+병설유치원(7월)'!BV29)</x:f>
        <x:v>0</x:v>
      </x:c>
      <x:c r="I85" s="294" t="n">
        <x:f>IF('초등학교+병설유치원(7월)'!BW29="",0,'초등학교+병설유치원(7월)'!BW29)</x:f>
        <x:v>0</x:v>
      </x:c>
      <x:c r="J85" s="296" t="n">
        <x:f>SUM(E85:I85)</x:f>
        <x:v>3</x:v>
      </x:c>
      <x:c r="K85" s="291" t="str">
        <x:v>7월</x:v>
      </x:c>
    </x:row>
    <x:row r="86">
      <x:c r="A86" s="291" t="str">
        <x:f>IF('초등학교+병설유치원(7월)'!A29="","",'초등학교+병설유치원(7월)'!A29)</x:f>
        <x:v>16-1</x:v>
      </x:c>
      <x:c r="B86" s="291" t="str">
        <x:v>병설유치원</x:v>
      </x:c>
      <x:c r="C86" s="291" t="str">
        <x:f>IF('초등학교+병설유치원(7월)'!B29="","",'초등학교+병설유치원(7월)'!B29)</x:f>
        <x:v>이리북초 병설유치원</x:v>
      </x:c>
      <x:c r="D86" s="293" t="n">
        <x:v>46234</x:v>
      </x:c>
      <x:c r="E86" s="294" t="n">
        <x:f>IF('초등학교+병설유치원(7월)'!BY29="",0,'초등학교+병설유치원(7월)'!BY29)</x:f>
        <x:v>3</x:v>
      </x:c>
      <x:c r="F86" s="294" t="n">
        <x:f>IF('초등학교+병설유치원(7월)'!BZ29="",0,'초등학교+병설유치원(7월)'!BZ29)</x:f>
        <x:v>0</x:v>
      </x:c>
      <x:c r="G86" s="294" t="n">
        <x:f>IF('초등학교+병설유치원(7월)'!CA29="",0,'초등학교+병설유치원(7월)'!CA29)</x:f>
        <x:v>0</x:v>
      </x:c>
      <x:c r="H86" s="294" t="n">
        <x:f>IF('초등학교+병설유치원(7월)'!CB29="",0,'초등학교+병설유치원(7월)'!CB29)</x:f>
        <x:v>0</x:v>
      </x:c>
      <x:c r="I86" s="294" t="n">
        <x:f>IF('초등학교+병설유치원(7월)'!CC29="",0,'초등학교+병설유치원(7월)'!CC29)</x:f>
        <x:v>0</x:v>
      </x:c>
      <x:c r="J86" s="296" t="n">
        <x:f>SUM(E86:I86)</x:f>
        <x:v>3</x:v>
      </x:c>
      <x:c r="K86" s="291" t="str">
        <x:v>7월</x:v>
      </x:c>
    </x:row>
    <x:row r="87">
      <x:c r="A87" s="291" t="n">
        <x:f>IF('초등학교+병설유치원(7월)'!A31="","",'초등학교+병설유치원(7월)'!A31)</x:f>
        <x:v>18</x:v>
      </x:c>
      <x:c r="B87" s="291" t="str">
        <x:v>초등학교</x:v>
      </x:c>
      <x:c r="C87" s="291" t="str">
        <x:f>IF('초등학교+병설유치원(7월)'!B31="","",'초등학교+병설유치원(7월)'!B31)</x:f>
        <x:v>이리서초</x:v>
      </x:c>
      <x:c r="D87" s="293" t="n">
        <x:v>46231</x:v>
      </x:c>
      <x:c r="E87" s="294" t="n">
        <x:f>IF('초등학교+병설유치원(7월)'!BG31="",0,'초등학교+병설유치원(7월)'!BG31)</x:f>
        <x:v>21</x:v>
      </x:c>
      <x:c r="F87" s="294" t="n">
        <x:f>IF('초등학교+병설유치원(7월)'!BH31="",0,'초등학교+병설유치원(7월)'!BH31)</x:f>
        <x:v>20</x:v>
      </x:c>
      <x:c r="G87" s="294" t="n">
        <x:f>IF('초등학교+병설유치원(7월)'!BI31="",0,'초등학교+병설유치원(7월)'!BI31)</x:f>
        <x:v>0</x:v>
      </x:c>
      <x:c r="H87" s="294" t="n">
        <x:f>IF('초등학교+병설유치원(7월)'!BJ31="",0,'초등학교+병설유치원(7월)'!BJ31)</x:f>
        <x:v>0</x:v>
      </x:c>
      <x:c r="I87" s="294" t="n">
        <x:f>IF('초등학교+병설유치원(7월)'!BK31="",0,'초등학교+병설유치원(7월)'!BK31)</x:f>
        <x:v>0</x:v>
      </x:c>
      <x:c r="J87" s="296" t="n">
        <x:f>SUM(E87:I87)</x:f>
        <x:v>41</x:v>
      </x:c>
      <x:c r="K87" s="291" t="str">
        <x:v>7월</x:v>
      </x:c>
    </x:row>
    <x:row r="88">
      <x:c r="A88" s="291" t="n">
        <x:f>IF('초등학교+병설유치원(7월)'!A32="","",'초등학교+병설유치원(7월)'!A32)</x:f>
        <x:v>19</x:v>
      </x:c>
      <x:c r="B88" s="291" t="str">
        <x:v>초등학교</x:v>
      </x:c>
      <x:c r="C88" s="291" t="str">
        <x:f>IF('초등학교+병설유치원(7월)'!B32="","",'초등학교+병설유치원(7월)'!B32)</x:f>
        <x:v>이리석암초</x:v>
      </x:c>
      <x:c r="D88" s="293" t="n">
        <x:v>46233</x:v>
      </x:c>
      <x:c r="E88" s="294" t="n">
        <x:f>IF('초등학교+병설유치원(7월)'!BS32="",0,'초등학교+병설유치원(7월)'!BS32)</x:f>
        <x:v>14</x:v>
      </x:c>
      <x:c r="F88" s="294" t="n">
        <x:f>IF('초등학교+병설유치원(7월)'!BT32="",0,'초등학교+병설유치원(7월)'!BT32)</x:f>
        <x:v>0</x:v>
      </x:c>
      <x:c r="G88" s="294" t="n">
        <x:f>IF('초등학교+병설유치원(7월)'!BU32="",0,'초등학교+병설유치원(7월)'!BU32)</x:f>
        <x:v>0</x:v>
      </x:c>
      <x:c r="H88" s="294" t="n">
        <x:f>IF('초등학교+병설유치원(7월)'!BV32="",0,'초등학교+병설유치원(7월)'!BV32)</x:f>
        <x:v>0</x:v>
      </x:c>
      <x:c r="I88" s="294" t="n">
        <x:f>IF('초등학교+병설유치원(7월)'!BW32="",0,'초등학교+병설유치원(7월)'!BW32)</x:f>
        <x:v>0</x:v>
      </x:c>
      <x:c r="J88" s="296" t="n">
        <x:f>SUM(E88:I88)</x:f>
        <x:v>14</x:v>
      </x:c>
      <x:c r="K88" s="291" t="str">
        <x:v>7월</x:v>
      </x:c>
    </x:row>
    <x:row r="89">
      <x:c r="A89" s="291" t="n">
        <x:f>IF('초등학교+병설유치원(7월)'!A32="","",'초등학교+병설유치원(7월)'!A32)</x:f>
        <x:v>19</x:v>
      </x:c>
      <x:c r="B89" s="291" t="str">
        <x:v>초등학교</x:v>
      </x:c>
      <x:c r="C89" s="291" t="str">
        <x:f>IF('초등학교+병설유치원(7월)'!B32="","",'초등학교+병설유치원(7월)'!B32)</x:f>
        <x:v>이리석암초</x:v>
      </x:c>
      <x:c r="D89" s="293" t="n">
        <x:v>46234</x:v>
      </x:c>
      <x:c r="E89" s="294" t="n">
        <x:f>IF('초등학교+병설유치원(7월)'!BY32="",0,'초등학교+병설유치원(7월)'!BY32)</x:f>
        <x:v>14</x:v>
      </x:c>
      <x:c r="F89" s="294" t="n">
        <x:f>IF('초등학교+병설유치원(7월)'!BZ32="",0,'초등학교+병설유치원(7월)'!BZ32)</x:f>
        <x:v>0</x:v>
      </x:c>
      <x:c r="G89" s="294" t="n">
        <x:f>IF('초등학교+병설유치원(7월)'!CA32="",0,'초등학교+병설유치원(7월)'!CA32)</x:f>
        <x:v>0</x:v>
      </x:c>
      <x:c r="H89" s="294" t="n">
        <x:f>IF('초등학교+병설유치원(7월)'!CB32="",0,'초등학교+병설유치원(7월)'!CB32)</x:f>
        <x:v>0</x:v>
      </x:c>
      <x:c r="I89" s="294" t="n">
        <x:f>IF('초등학교+병설유치원(7월)'!CC32="",0,'초등학교+병설유치원(7월)'!CC32)</x:f>
        <x:v>0</x:v>
      </x:c>
      <x:c r="J89" s="296" t="n">
        <x:f>SUM(E89:I89)</x:f>
        <x:v>14</x:v>
      </x:c>
      <x:c r="K89" s="291" t="str">
        <x:v>7월</x:v>
      </x:c>
    </x:row>
    <x:row r="90">
      <x:c r="A90" s="291" t="n">
        <x:f>IF('초등학교+병설유치원(7월)'!A33="","",'초등학교+병설유치원(7월)'!A33)</x:f>
        <x:v>20</x:v>
      </x:c>
      <x:c r="B90" s="291" t="str">
        <x:v>초등학교</x:v>
      </x:c>
      <x:c r="C90" s="291" t="str">
        <x:f>IF('초등학교+병설유치원(7월)'!B33="","",'초등학교+병설유치원(7월)'!B33)</x:f>
        <x:v>이리송학초</x:v>
      </x:c>
      <x:c r="D90" s="293" t="n">
        <x:v>46233</x:v>
      </x:c>
      <x:c r="E90" s="294" t="n">
        <x:f>IF('초등학교+병설유치원(7월)'!BS33="",0,'초등학교+병설유치원(7월)'!BS33)</x:f>
        <x:v>19</x:v>
      </x:c>
      <x:c r="F90" s="294" t="n">
        <x:f>IF('초등학교+병설유치원(7월)'!BT33="",0,'초등학교+병설유치원(7월)'!BT33)</x:f>
        <x:v>18</x:v>
      </x:c>
      <x:c r="G90" s="294" t="n">
        <x:f>IF('초등학교+병설유치원(7월)'!BU33="",0,'초등학교+병설유치원(7월)'!BU33)</x:f>
        <x:v>18</x:v>
      </x:c>
      <x:c r="H90" s="294" t="n">
        <x:f>IF('초등학교+병설유치원(7월)'!BV33="",0,'초등학교+병설유치원(7월)'!BV33)</x:f>
        <x:v>0</x:v>
      </x:c>
      <x:c r="I90" s="294" t="n">
        <x:f>IF('초등학교+병설유치원(7월)'!BW33="",0,'초등학교+병설유치원(7월)'!BW33)</x:f>
        <x:v>0</x:v>
      </x:c>
      <x:c r="J90" s="296" t="n">
        <x:f>SUM(E90:I90)</x:f>
        <x:v>55</x:v>
      </x:c>
      <x:c r="K90" s="291" t="str">
        <x:v>7월</x:v>
      </x:c>
    </x:row>
    <x:row r="91">
      <x:c r="A91" s="291" t="n">
        <x:f>IF('초등학교+병설유치원(7월)'!A33="","",'초등학교+병설유치원(7월)'!A33)</x:f>
        <x:v>20</x:v>
      </x:c>
      <x:c r="B91" s="291" t="str">
        <x:v>초등학교</x:v>
      </x:c>
      <x:c r="C91" s="291" t="str">
        <x:f>IF('초등학교+병설유치원(7월)'!B33="","",'초등학교+병설유치원(7월)'!B33)</x:f>
        <x:v>이리송학초</x:v>
      </x:c>
      <x:c r="D91" s="293" t="n">
        <x:v>46234</x:v>
      </x:c>
      <x:c r="E91" s="294" t="n">
        <x:f>IF('초등학교+병설유치원(7월)'!BY33="",0,'초등학교+병설유치원(7월)'!BY33)</x:f>
        <x:v>19</x:v>
      </x:c>
      <x:c r="F91" s="294" t="n">
        <x:f>IF('초등학교+병설유치원(7월)'!BZ33="",0,'초등학교+병설유치원(7월)'!BZ33)</x:f>
        <x:v>18</x:v>
      </x:c>
      <x:c r="G91" s="294" t="n">
        <x:f>IF('초등학교+병설유치원(7월)'!CA33="",0,'초등학교+병설유치원(7월)'!CA33)</x:f>
        <x:v>18</x:v>
      </x:c>
      <x:c r="H91" s="294" t="n">
        <x:f>IF('초등학교+병설유치원(7월)'!CB33="",0,'초등학교+병설유치원(7월)'!CB33)</x:f>
        <x:v>0</x:v>
      </x:c>
      <x:c r="I91" s="294" t="n">
        <x:f>IF('초등학교+병설유치원(7월)'!CC33="",0,'초등학교+병설유치원(7월)'!CC33)</x:f>
        <x:v>0</x:v>
      </x:c>
      <x:c r="J91" s="296" t="n">
        <x:f>SUM(E91:I91)</x:f>
        <x:v>55</x:v>
      </x:c>
      <x:c r="K91" s="291" t="str">
        <x:v>7월</x:v>
      </x:c>
    </x:row>
    <x:row r="92">
      <x:c r="A92" s="291" t="n">
        <x:f>IF('초등학교+병설유치원(7월)'!A35="","",'초등학교+병설유치원(7월)'!A35)</x:f>
        <x:v>21</x:v>
      </x:c>
      <x:c r="B92" s="291" t="str">
        <x:v>초등학교</x:v>
      </x:c>
      <x:c r="C92" s="291" t="str">
        <x:f>IF('초등학교+병설유치원(7월)'!B35="","",'초등학교+병설유치원(7월)'!B35)</x:f>
        <x:v>이리신동초</x:v>
      </x:c>
      <x:c r="D92" s="293" t="n">
        <x:v>46230</x:v>
      </x:c>
      <x:c r="E92" s="294" t="n">
        <x:f>IF('초등학교+병설유치원(7월)'!BA35="",0,'초등학교+병설유치원(7월)'!BA35)</x:f>
        <x:v>21</x:v>
      </x:c>
      <x:c r="F92" s="294" t="n">
        <x:f>IF('초등학교+병설유치원(7월)'!BB35="",0,'초등학교+병설유치원(7월)'!BB35)</x:f>
        <x:v>0</x:v>
      </x:c>
      <x:c r="G92" s="294" t="n">
        <x:f>IF('초등학교+병설유치원(7월)'!BC35="",0,'초등학교+병설유치원(7월)'!BC35)</x:f>
        <x:v>0</x:v>
      </x:c>
      <x:c r="H92" s="294" t="n">
        <x:f>IF('초등학교+병설유치원(7월)'!BD35="",0,'초등학교+병설유치원(7월)'!BD35)</x:f>
        <x:v>0</x:v>
      </x:c>
      <x:c r="I92" s="294" t="n">
        <x:f>IF('초등학교+병설유치원(7월)'!BE35="",0,'초등학교+병설유치원(7월)'!BE35)</x:f>
        <x:v>0</x:v>
      </x:c>
      <x:c r="J92" s="296" t="n">
        <x:f>SUM(E92:I92)</x:f>
        <x:v>21</x:v>
      </x:c>
      <x:c r="K92" s="291" t="str">
        <x:v>7월</x:v>
      </x:c>
    </x:row>
    <x:row r="93">
      <x:c r="A93" s="291" t="n">
        <x:f>IF('초등학교+병설유치원(7월)'!A35="","",'초등학교+병설유치원(7월)'!A35)</x:f>
        <x:v>21</x:v>
      </x:c>
      <x:c r="B93" s="291" t="str">
        <x:v>초등학교</x:v>
      </x:c>
      <x:c r="C93" s="291" t="str">
        <x:f>IF('초등학교+병설유치원(7월)'!B35="","",'초등학교+병설유치원(7월)'!B35)</x:f>
        <x:v>이리신동초</x:v>
      </x:c>
      <x:c r="D93" s="293" t="n">
        <x:v>46231</x:v>
      </x:c>
      <x:c r="E93" s="294" t="n">
        <x:f>IF('초등학교+병설유치원(7월)'!BG35="",0,'초등학교+병설유치원(7월)'!BG35)</x:f>
        <x:v>21</x:v>
      </x:c>
      <x:c r="F93" s="294" t="n">
        <x:f>IF('초등학교+병설유치원(7월)'!BH35="",0,'초등학교+병설유치원(7월)'!BH35)</x:f>
        <x:v>0</x:v>
      </x:c>
      <x:c r="G93" s="294" t="n">
        <x:f>IF('초등학교+병설유치원(7월)'!BI35="",0,'초등학교+병설유치원(7월)'!BI35)</x:f>
        <x:v>0</x:v>
      </x:c>
      <x:c r="H93" s="294" t="n">
        <x:f>IF('초등학교+병설유치원(7월)'!BJ35="",0,'초등학교+병설유치원(7월)'!BJ35)</x:f>
        <x:v>0</x:v>
      </x:c>
      <x:c r="I93" s="294" t="n">
        <x:f>IF('초등학교+병설유치원(7월)'!BK35="",0,'초등학교+병설유치원(7월)'!BK35)</x:f>
        <x:v>0</x:v>
      </x:c>
      <x:c r="J93" s="296" t="n">
        <x:f>SUM(E93:I93)</x:f>
        <x:v>21</x:v>
      </x:c>
      <x:c r="K93" s="291" t="str">
        <x:v>7월</x:v>
      </x:c>
    </x:row>
    <x:row r="94">
      <x:c r="A94" s="291" t="n">
        <x:f>IF('초등학교+병설유치원(7월)'!A35="","",'초등학교+병설유치원(7월)'!A35)</x:f>
        <x:v>21</x:v>
      </x:c>
      <x:c r="B94" s="291" t="str">
        <x:v>초등학교</x:v>
      </x:c>
      <x:c r="C94" s="291" t="str">
        <x:f>IF('초등학교+병설유치원(7월)'!B35="","",'초등학교+병설유치원(7월)'!B35)</x:f>
        <x:v>이리신동초</x:v>
      </x:c>
      <x:c r="D94" s="293" t="n">
        <x:v>46232</x:v>
      </x:c>
      <x:c r="E94" s="294" t="n">
        <x:f>IF('초등학교+병설유치원(7월)'!BM35="",0,'초등학교+병설유치원(7월)'!BM35)</x:f>
        <x:v>21</x:v>
      </x:c>
      <x:c r="F94" s="294" t="n">
        <x:f>IF('초등학교+병설유치원(7월)'!BN35="",0,'초등학교+병설유치원(7월)'!BN35)</x:f>
        <x:v>0</x:v>
      </x:c>
      <x:c r="G94" s="294" t="n">
        <x:f>IF('초등학교+병설유치원(7월)'!BO35="",0,'초등학교+병설유치원(7월)'!BO35)</x:f>
        <x:v>0</x:v>
      </x:c>
      <x:c r="H94" s="294" t="n">
        <x:f>IF('초등학교+병설유치원(7월)'!BP35="",0,'초등학교+병설유치원(7월)'!BP35)</x:f>
        <x:v>0</x:v>
      </x:c>
      <x:c r="I94" s="294" t="n">
        <x:f>IF('초등학교+병설유치원(7월)'!BQ35="",0,'초등학교+병설유치원(7월)'!BQ35)</x:f>
        <x:v>0</x:v>
      </x:c>
      <x:c r="J94" s="296" t="n">
        <x:f>SUM(E94:I94)</x:f>
        <x:v>21</x:v>
      </x:c>
      <x:c r="K94" s="291" t="str">
        <x:v>7월</x:v>
      </x:c>
    </x:row>
    <x:row r="95">
      <x:c r="A95" s="291" t="n">
        <x:f>IF('초등학교+병설유치원(7월)'!A35="","",'초등학교+병설유치원(7월)'!A35)</x:f>
        <x:v>21</x:v>
      </x:c>
      <x:c r="B95" s="291" t="str">
        <x:v>초등학교</x:v>
      </x:c>
      <x:c r="C95" s="291" t="str">
        <x:f>IF('초등학교+병설유치원(7월)'!B35="","",'초등학교+병설유치원(7월)'!B35)</x:f>
        <x:v>이리신동초</x:v>
      </x:c>
      <x:c r="D95" s="293" t="n">
        <x:v>46233</x:v>
      </x:c>
      <x:c r="E95" s="294" t="n">
        <x:f>IF('초등학교+병설유치원(7월)'!BS35="",0,'초등학교+병설유치원(7월)'!BS35)</x:f>
        <x:v>21</x:v>
      </x:c>
      <x:c r="F95" s="294" t="n">
        <x:f>IF('초등학교+병설유치원(7월)'!BT35="",0,'초등학교+병설유치원(7월)'!BT35)</x:f>
        <x:v>0</x:v>
      </x:c>
      <x:c r="G95" s="294" t="n">
        <x:f>IF('초등학교+병설유치원(7월)'!BU35="",0,'초등학교+병설유치원(7월)'!BU35)</x:f>
        <x:v>0</x:v>
      </x:c>
      <x:c r="H95" s="294" t="n">
        <x:f>IF('초등학교+병설유치원(7월)'!BV35="",0,'초등학교+병설유치원(7월)'!BV35)</x:f>
        <x:v>0</x:v>
      </x:c>
      <x:c r="I95" s="294" t="n">
        <x:f>IF('초등학교+병설유치원(7월)'!BW35="",0,'초등학교+병설유치원(7월)'!BW35)</x:f>
        <x:v>0</x:v>
      </x:c>
      <x:c r="J95" s="296" t="n">
        <x:f>SUM(E95:I95)</x:f>
        <x:v>21</x:v>
      </x:c>
      <x:c r="K95" s="291" t="str">
        <x:v>7월</x:v>
      </x:c>
    </x:row>
    <x:row r="96">
      <x:c r="A96" s="291" t="n">
        <x:f>IF('초등학교+병설유치원(7월)'!A35="","",'초등학교+병설유치원(7월)'!A35)</x:f>
        <x:v>21</x:v>
      </x:c>
      <x:c r="B96" s="291" t="str">
        <x:v>초등학교</x:v>
      </x:c>
      <x:c r="C96" s="291" t="str">
        <x:f>IF('초등학교+병설유치원(7월)'!B35="","",'초등학교+병설유치원(7월)'!B35)</x:f>
        <x:v>이리신동초</x:v>
      </x:c>
      <x:c r="D96" s="293" t="n">
        <x:v>46234</x:v>
      </x:c>
      <x:c r="E96" s="294" t="n">
        <x:f>IF('초등학교+병설유치원(7월)'!BY35="",0,'초등학교+병설유치원(7월)'!BY35)</x:f>
        <x:v>21</x:v>
      </x:c>
      <x:c r="F96" s="294" t="n">
        <x:f>IF('초등학교+병설유치원(7월)'!BZ35="",0,'초등학교+병설유치원(7월)'!BZ35)</x:f>
        <x:v>0</x:v>
      </x:c>
      <x:c r="G96" s="294" t="n">
        <x:f>IF('초등학교+병설유치원(7월)'!CA35="",0,'초등학교+병설유치원(7월)'!CA35)</x:f>
        <x:v>0</x:v>
      </x:c>
      <x:c r="H96" s="294" t="n">
        <x:f>IF('초등학교+병설유치원(7월)'!CB35="",0,'초등학교+병설유치원(7월)'!CB35)</x:f>
        <x:v>0</x:v>
      </x:c>
      <x:c r="I96" s="294" t="n">
        <x:f>IF('초등학교+병설유치원(7월)'!CC35="",0,'초등학교+병설유치원(7월)'!CC35)</x:f>
        <x:v>0</x:v>
      </x:c>
      <x:c r="J96" s="296" t="n">
        <x:f>SUM(E96:I96)</x:f>
        <x:v>21</x:v>
      </x:c>
      <x:c r="K96" s="291" t="str">
        <x:v>7월</x:v>
      </x:c>
    </x:row>
    <x:row r="97">
      <x:c r="A97" s="291" t="n">
        <x:f>IF('초등학교+병설유치원(7월)'!A36="","",'초등학교+병설유치원(7월)'!A36)</x:f>
        <x:v>22</x:v>
      </x:c>
      <x:c r="B97" s="291" t="str">
        <x:v>초등학교</x:v>
      </x:c>
      <x:c r="C97" s="291" t="str">
        <x:f>IF('초등학교+병설유치원(7월)'!B36="","",'초등학교+병설유치원(7월)'!B36)</x:f>
        <x:v>이리신흥초</x:v>
      </x:c>
      <x:c r="D97" s="293" t="n">
        <x:v>46230</x:v>
      </x:c>
      <x:c r="E97" s="294" t="n">
        <x:f>IF('초등학교+병설유치원(7월)'!BA36="",0,'초등학교+병설유치원(7월)'!BA36)</x:f>
        <x:v>21</x:v>
      </x:c>
      <x:c r="F97" s="294" t="n">
        <x:f>IF('초등학교+병설유치원(7월)'!BB36="",0,'초등학교+병설유치원(7월)'!BB36)</x:f>
        <x:v>0</x:v>
      </x:c>
      <x:c r="G97" s="294" t="n">
        <x:f>IF('초등학교+병설유치원(7월)'!BC36="",0,'초등학교+병설유치원(7월)'!BC36)</x:f>
        <x:v>0</x:v>
      </x:c>
      <x:c r="H97" s="294" t="n">
        <x:f>IF('초등학교+병설유치원(7월)'!BD36="",0,'초등학교+병설유치원(7월)'!BD36)</x:f>
        <x:v>0</x:v>
      </x:c>
      <x:c r="I97" s="294" t="n">
        <x:f>IF('초등학교+병설유치원(7월)'!BE36="",0,'초등학교+병설유치원(7월)'!BE36)</x:f>
        <x:v>0</x:v>
      </x:c>
      <x:c r="J97" s="296" t="n">
        <x:f>SUM(E97:I97)</x:f>
        <x:v>21</x:v>
      </x:c>
      <x:c r="K97" s="291" t="str">
        <x:v>7월</x:v>
      </x:c>
    </x:row>
    <x:row r="98">
      <x:c r="A98" s="291" t="n">
        <x:f>IF('초등학교+병설유치원(7월)'!A36="","",'초등학교+병설유치원(7월)'!A36)</x:f>
        <x:v>22</x:v>
      </x:c>
      <x:c r="B98" s="291" t="str">
        <x:v>초등학교</x:v>
      </x:c>
      <x:c r="C98" s="291" t="str">
        <x:f>IF('초등학교+병설유치원(7월)'!B36="","",'초등학교+병설유치원(7월)'!B36)</x:f>
        <x:v>이리신흥초</x:v>
      </x:c>
      <x:c r="D98" s="293" t="n">
        <x:v>46231</x:v>
      </x:c>
      <x:c r="E98" s="294" t="n">
        <x:f>IF('초등학교+병설유치원(7월)'!BG36="",0,'초등학교+병설유치원(7월)'!BG36)</x:f>
        <x:v>21</x:v>
      </x:c>
      <x:c r="F98" s="294" t="n">
        <x:f>IF('초등학교+병설유치원(7월)'!BH36="",0,'초등학교+병설유치원(7월)'!BH36)</x:f>
        <x:v>0</x:v>
      </x:c>
      <x:c r="G98" s="294" t="n">
        <x:f>IF('초등학교+병설유치원(7월)'!BI36="",0,'초등학교+병설유치원(7월)'!BI36)</x:f>
        <x:v>0</x:v>
      </x:c>
      <x:c r="H98" s="294" t="n">
        <x:f>IF('초등학교+병설유치원(7월)'!BJ36="",0,'초등학교+병설유치원(7월)'!BJ36)</x:f>
        <x:v>0</x:v>
      </x:c>
      <x:c r="I98" s="294" t="n">
        <x:f>IF('초등학교+병설유치원(7월)'!BK36="",0,'초등학교+병설유치원(7월)'!BK36)</x:f>
        <x:v>0</x:v>
      </x:c>
      <x:c r="J98" s="296" t="n">
        <x:f>SUM(E98:I98)</x:f>
        <x:v>21</x:v>
      </x:c>
      <x:c r="K98" s="291" t="str">
        <x:v>7월</x:v>
      </x:c>
    </x:row>
    <x:row r="99">
      <x:c r="A99" s="291" t="n">
        <x:f>IF('초등학교+병설유치원(7월)'!A36="","",'초등학교+병설유치원(7월)'!A36)</x:f>
        <x:v>22</x:v>
      </x:c>
      <x:c r="B99" s="291" t="str">
        <x:v>초등학교</x:v>
      </x:c>
      <x:c r="C99" s="291" t="str">
        <x:f>IF('초등학교+병설유치원(7월)'!B36="","",'초등학교+병설유치원(7월)'!B36)</x:f>
        <x:v>이리신흥초</x:v>
      </x:c>
      <x:c r="D99" s="293" t="n">
        <x:v>46232</x:v>
      </x:c>
      <x:c r="E99" s="294" t="n">
        <x:f>IF('초등학교+병설유치원(7월)'!BM36="",0,'초등학교+병설유치원(7월)'!BM36)</x:f>
        <x:v>21</x:v>
      </x:c>
      <x:c r="F99" s="294" t="n">
        <x:f>IF('초등학교+병설유치원(7월)'!BN36="",0,'초등학교+병설유치원(7월)'!BN36)</x:f>
        <x:v>0</x:v>
      </x:c>
      <x:c r="G99" s="294" t="n">
        <x:f>IF('초등학교+병설유치원(7월)'!BO36="",0,'초등학교+병설유치원(7월)'!BO36)</x:f>
        <x:v>0</x:v>
      </x:c>
      <x:c r="H99" s="294" t="n">
        <x:f>IF('초등학교+병설유치원(7월)'!BP36="",0,'초등학교+병설유치원(7월)'!BP36)</x:f>
        <x:v>0</x:v>
      </x:c>
      <x:c r="I99" s="294" t="n">
        <x:f>IF('초등학교+병설유치원(7월)'!BQ36="",0,'초등학교+병설유치원(7월)'!BQ36)</x:f>
        <x:v>0</x:v>
      </x:c>
      <x:c r="J99" s="296" t="n">
        <x:f>SUM(E99:I99)</x:f>
        <x:v>21</x:v>
      </x:c>
      <x:c r="K99" s="291" t="str">
        <x:v>7월</x:v>
      </x:c>
    </x:row>
    <x:row r="100">
      <x:c r="A100" s="291" t="n">
        <x:f>IF('초등학교+병설유치원(7월)'!A36="","",'초등학교+병설유치원(7월)'!A36)</x:f>
        <x:v>22</x:v>
      </x:c>
      <x:c r="B100" s="291" t="str">
        <x:v>초등학교</x:v>
      </x:c>
      <x:c r="C100" s="291" t="str">
        <x:f>IF('초등학교+병설유치원(7월)'!B36="","",'초등학교+병설유치원(7월)'!B36)</x:f>
        <x:v>이리신흥초</x:v>
      </x:c>
      <x:c r="D100" s="293" t="n">
        <x:v>46233</x:v>
      </x:c>
      <x:c r="E100" s="294" t="n">
        <x:f>IF('초등학교+병설유치원(7월)'!BS36="",0,'초등학교+병설유치원(7월)'!BS36)</x:f>
        <x:v>21</x:v>
      </x:c>
      <x:c r="F100" s="294" t="n">
        <x:f>IF('초등학교+병설유치원(7월)'!BT36="",0,'초등학교+병설유치원(7월)'!BT36)</x:f>
        <x:v>0</x:v>
      </x:c>
      <x:c r="G100" s="294" t="n">
        <x:f>IF('초등학교+병설유치원(7월)'!BU36="",0,'초등학교+병설유치원(7월)'!BU36)</x:f>
        <x:v>0</x:v>
      </x:c>
      <x:c r="H100" s="294" t="n">
        <x:f>IF('초등학교+병설유치원(7월)'!BV36="",0,'초등학교+병설유치원(7월)'!BV36)</x:f>
        <x:v>0</x:v>
      </x:c>
      <x:c r="I100" s="294" t="n">
        <x:f>IF('초등학교+병설유치원(7월)'!BW36="",0,'초등학교+병설유치원(7월)'!BW36)</x:f>
        <x:v>0</x:v>
      </x:c>
      <x:c r="J100" s="296" t="n">
        <x:f>SUM(E100:I100)</x:f>
        <x:v>21</x:v>
      </x:c>
      <x:c r="K100" s="291" t="str">
        <x:v>7월</x:v>
      </x:c>
    </x:row>
    <x:row r="101">
      <x:c r="A101" s="291" t="n">
        <x:f>IF('초등학교+병설유치원(7월)'!A36="","",'초등학교+병설유치원(7월)'!A36)</x:f>
        <x:v>22</x:v>
      </x:c>
      <x:c r="B101" s="291" t="str">
        <x:v>초등학교</x:v>
      </x:c>
      <x:c r="C101" s="291" t="str">
        <x:f>IF('초등학교+병설유치원(7월)'!B36="","",'초등학교+병설유치원(7월)'!B36)</x:f>
        <x:v>이리신흥초</x:v>
      </x:c>
      <x:c r="D101" s="293" t="n">
        <x:v>46234</x:v>
      </x:c>
      <x:c r="E101" s="294" t="n">
        <x:f>IF('초등학교+병설유치원(7월)'!BY36="",0,'초등학교+병설유치원(7월)'!BY36)</x:f>
        <x:v>21</x:v>
      </x:c>
      <x:c r="F101" s="294" t="n">
        <x:f>IF('초등학교+병설유치원(7월)'!BZ36="",0,'초등학교+병설유치원(7월)'!BZ36)</x:f>
        <x:v>0</x:v>
      </x:c>
      <x:c r="G101" s="294" t="n">
        <x:f>IF('초등학교+병설유치원(7월)'!CA36="",0,'초등학교+병설유치원(7월)'!CA36)</x:f>
        <x:v>0</x:v>
      </x:c>
      <x:c r="H101" s="294" t="n">
        <x:f>IF('초등학교+병설유치원(7월)'!CB36="",0,'초등학교+병설유치원(7월)'!CB36)</x:f>
        <x:v>0</x:v>
      </x:c>
      <x:c r="I101" s="294" t="n">
        <x:f>IF('초등학교+병설유치원(7월)'!CC36="",0,'초등학교+병설유치원(7월)'!CC36)</x:f>
        <x:v>0</x:v>
      </x:c>
      <x:c r="J101" s="296" t="n">
        <x:f>SUM(E101:I101)</x:f>
        <x:v>21</x:v>
      </x:c>
      <x:c r="K101" s="291" t="str">
        <x:v>7월</x:v>
      </x:c>
    </x:row>
    <x:row r="102">
      <x:c r="A102" s="291" t="n">
        <x:f>IF('초등학교+병설유치원(7월)'!A38="","",'초등학교+병설유치원(7월)'!A38)</x:f>
        <x:v>23</x:v>
      </x:c>
      <x:c r="B102" s="291" t="str">
        <x:v>초등학교</x:v>
      </x:c>
      <x:c r="C102" s="291" t="str">
        <x:f>IF('초등학교+병설유치원(7월)'!B38="","",'초등학교+병설유치원(7월)'!B38)</x:f>
        <x:v>이리영등초</x:v>
      </x:c>
      <x:c r="D102" s="293" t="n">
        <x:v>46233</x:v>
      </x:c>
      <x:c r="E102" s="294" t="n">
        <x:f>IF('초등학교+병설유치원(7월)'!BS38="",0,'초등학교+병설유치원(7월)'!BS38)</x:f>
        <x:v>22</x:v>
      </x:c>
      <x:c r="F102" s="294" t="n">
        <x:f>IF('초등학교+병설유치원(7월)'!BT38="",0,'초등학교+병설유치원(7월)'!BT38)</x:f>
        <x:v>21</x:v>
      </x:c>
      <x:c r="G102" s="294" t="n">
        <x:f>IF('초등학교+병설유치원(7월)'!BU38="",0,'초등학교+병설유치원(7월)'!BU38)</x:f>
        <x:v>0</x:v>
      </x:c>
      <x:c r="H102" s="294" t="n">
        <x:f>IF('초등학교+병설유치원(7월)'!BV38="",0,'초등학교+병설유치원(7월)'!BV38)</x:f>
        <x:v>0</x:v>
      </x:c>
      <x:c r="I102" s="294" t="n">
        <x:f>IF('초등학교+병설유치원(7월)'!BW38="",0,'초등학교+병설유치원(7월)'!BW38)</x:f>
        <x:v>20</x:v>
      </x:c>
      <x:c r="J102" s="296" t="n">
        <x:f>SUM(E102:I102)</x:f>
        <x:v>63</x:v>
      </x:c>
      <x:c r="K102" s="291" t="str">
        <x:v>7월</x:v>
      </x:c>
    </x:row>
    <x:row r="103">
      <x:c r="A103" s="291" t="n">
        <x:f>IF('초등학교+병설유치원(7월)'!A38="","",'초등학교+병설유치원(7월)'!A38)</x:f>
        <x:v>23</x:v>
      </x:c>
      <x:c r="B103" s="291" t="str">
        <x:v>초등학교</x:v>
      </x:c>
      <x:c r="C103" s="291" t="str">
        <x:f>IF('초등학교+병설유치원(7월)'!B38="","",'초등학교+병설유치원(7월)'!B38)</x:f>
        <x:v>이리영등초</x:v>
      </x:c>
      <x:c r="D103" s="293" t="n">
        <x:v>46234</x:v>
      </x:c>
      <x:c r="E103" s="294" t="n">
        <x:f>IF('초등학교+병설유치원(7월)'!BY38="",0,'초등학교+병설유치원(7월)'!BY38)</x:f>
        <x:v>22</x:v>
      </x:c>
      <x:c r="F103" s="294" t="n">
        <x:f>IF('초등학교+병설유치원(7월)'!BZ38="",0,'초등학교+병설유치원(7월)'!BZ38)</x:f>
        <x:v>21</x:v>
      </x:c>
      <x:c r="G103" s="294" t="n">
        <x:f>IF('초등학교+병설유치원(7월)'!CA38="",0,'초등학교+병설유치원(7월)'!CA38)</x:f>
        <x:v>0</x:v>
      </x:c>
      <x:c r="H103" s="294" t="n">
        <x:f>IF('초등학교+병설유치원(7월)'!CB38="",0,'초등학교+병설유치원(7월)'!CB38)</x:f>
        <x:v>0</x:v>
      </x:c>
      <x:c r="I103" s="294" t="n">
        <x:f>IF('초등학교+병설유치원(7월)'!CC38="",0,'초등학교+병설유치원(7월)'!CC38)</x:f>
        <x:v>20</x:v>
      </x:c>
      <x:c r="J103" s="296" t="n">
        <x:f>SUM(E103:I103)</x:f>
        <x:v>63</x:v>
      </x:c>
      <x:c r="K103" s="291" t="str">
        <x:v>7월</x:v>
      </x:c>
    </x:row>
    <x:row r="104">
      <x:c r="A104" s="291" t="n">
        <x:f>IF('초등학교+병설유치원(7월)'!A39="","",'초등학교+병설유치원(7월)'!A39)</x:f>
        <x:v>24</x:v>
      </x:c>
      <x:c r="B104" s="291" t="str">
        <x:v>초등학교</x:v>
      </x:c>
      <x:c r="C104" s="291" t="str">
        <x:f>IF('초등학교+병설유치원(7월)'!B39="","",'초등학교+병설유치원(7월)'!B39)</x:f>
        <x:v>이리중앙초</x:v>
      </x:c>
      <x:c r="D104" s="293" t="n">
        <x:v>46231</x:v>
      </x:c>
      <x:c r="E104" s="294" t="n">
        <x:f>IF('초등학교+병설유치원(7월)'!BG39="",0,'초등학교+병설유치원(7월)'!BG39)</x:f>
        <x:v>17</x:v>
      </x:c>
      <x:c r="F104" s="294" t="n">
        <x:f>IF('초등학교+병설유치원(7월)'!BH39="",0,'초등학교+병설유치원(7월)'!BH39)</x:f>
        <x:v>0</x:v>
      </x:c>
      <x:c r="G104" s="294" t="n">
        <x:f>IF('초등학교+병설유치원(7월)'!BI39="",0,'초등학교+병설유치원(7월)'!BI39)</x:f>
        <x:v>0</x:v>
      </x:c>
      <x:c r="H104" s="294" t="n">
        <x:f>IF('초등학교+병설유치원(7월)'!BJ39="",0,'초등학교+병설유치원(7월)'!BJ39)</x:f>
        <x:v>0</x:v>
      </x:c>
      <x:c r="I104" s="294" t="n">
        <x:f>IF('초등학교+병설유치원(7월)'!BK39="",0,'초등학교+병설유치원(7월)'!BK39)</x:f>
        <x:v>0</x:v>
      </x:c>
      <x:c r="J104" s="296" t="n">
        <x:f>SUM(E104:I104)</x:f>
        <x:v>17</x:v>
      </x:c>
      <x:c r="K104" s="291" t="str">
        <x:v>7월</x:v>
      </x:c>
    </x:row>
    <x:row r="105">
      <x:c r="A105" s="291" t="n">
        <x:f>IF('초등학교+병설유치원(7월)'!A39="","",'초등학교+병설유치원(7월)'!A39)</x:f>
        <x:v>24</x:v>
      </x:c>
      <x:c r="B105" s="291" t="str">
        <x:v>초등학교</x:v>
      </x:c>
      <x:c r="C105" s="291" t="str">
        <x:f>IF('초등학교+병설유치원(7월)'!B39="","",'초등학교+병설유치원(7월)'!B39)</x:f>
        <x:v>이리중앙초</x:v>
      </x:c>
      <x:c r="D105" s="293" t="n">
        <x:v>46232</x:v>
      </x:c>
      <x:c r="E105" s="294" t="n">
        <x:f>IF('초등학교+병설유치원(7월)'!BM39="",0,'초등학교+병설유치원(7월)'!BM39)</x:f>
        <x:v>17</x:v>
      </x:c>
      <x:c r="F105" s="294" t="n">
        <x:f>IF('초등학교+병설유치원(7월)'!BN39="",0,'초등학교+병설유치원(7월)'!BN39)</x:f>
        <x:v>0</x:v>
      </x:c>
      <x:c r="G105" s="294" t="n">
        <x:f>IF('초등학교+병설유치원(7월)'!BO39="",0,'초등학교+병설유치원(7월)'!BO39)</x:f>
        <x:v>0</x:v>
      </x:c>
      <x:c r="H105" s="294" t="n">
        <x:f>IF('초등학교+병설유치원(7월)'!BP39="",0,'초등학교+병설유치원(7월)'!BP39)</x:f>
        <x:v>0</x:v>
      </x:c>
      <x:c r="I105" s="294" t="n">
        <x:f>IF('초등학교+병설유치원(7월)'!BQ39="",0,'초등학교+병설유치원(7월)'!BQ39)</x:f>
        <x:v>0</x:v>
      </x:c>
      <x:c r="J105" s="296" t="n">
        <x:f>SUM(E105:I105)</x:f>
        <x:v>17</x:v>
      </x:c>
      <x:c r="K105" s="291" t="str">
        <x:v>7월</x:v>
      </x:c>
    </x:row>
    <x:row r="106">
      <x:c r="A106" s="291" t="n">
        <x:f>IF('초등학교+병설유치원(7월)'!A39="","",'초등학교+병설유치원(7월)'!A39)</x:f>
        <x:v>24</x:v>
      </x:c>
      <x:c r="B106" s="291" t="str">
        <x:v>초등학교</x:v>
      </x:c>
      <x:c r="C106" s="291" t="str">
        <x:f>IF('초등학교+병설유치원(7월)'!B39="","",'초등학교+병설유치원(7월)'!B39)</x:f>
        <x:v>이리중앙초</x:v>
      </x:c>
      <x:c r="D106" s="293" t="n">
        <x:v>46233</x:v>
      </x:c>
      <x:c r="E106" s="294" t="n">
        <x:f>IF('초등학교+병설유치원(7월)'!BS39="",0,'초등학교+병설유치원(7월)'!BS39)</x:f>
        <x:v>17</x:v>
      </x:c>
      <x:c r="F106" s="294" t="n">
        <x:f>IF('초등학교+병설유치원(7월)'!BT39="",0,'초등학교+병설유치원(7월)'!BT39)</x:f>
        <x:v>0</x:v>
      </x:c>
      <x:c r="G106" s="294" t="n">
        <x:f>IF('초등학교+병설유치원(7월)'!BU39="",0,'초등학교+병설유치원(7월)'!BU39)</x:f>
        <x:v>0</x:v>
      </x:c>
      <x:c r="H106" s="294" t="n">
        <x:f>IF('초등학교+병설유치원(7월)'!BV39="",0,'초등학교+병설유치원(7월)'!BV39)</x:f>
        <x:v>0</x:v>
      </x:c>
      <x:c r="I106" s="294" t="n">
        <x:f>IF('초등학교+병설유치원(7월)'!BW39="",0,'초등학교+병설유치원(7월)'!BW39)</x:f>
        <x:v>0</x:v>
      </x:c>
      <x:c r="J106" s="296" t="n">
        <x:f>SUM(E106:I106)</x:f>
        <x:v>17</x:v>
      </x:c>
      <x:c r="K106" s="291" t="str">
        <x:v>7월</x:v>
      </x:c>
    </x:row>
    <x:row r="107">
      <x:c r="A107" s="291" t="n">
        <x:f>IF('초등학교+병설유치원(7월)'!A39="","",'초등학교+병설유치원(7월)'!A39)</x:f>
        <x:v>24</x:v>
      </x:c>
      <x:c r="B107" s="291" t="str">
        <x:v>초등학교</x:v>
      </x:c>
      <x:c r="C107" s="291" t="str">
        <x:f>IF('초등학교+병설유치원(7월)'!B39="","",'초등학교+병설유치원(7월)'!B39)</x:f>
        <x:v>이리중앙초</x:v>
      </x:c>
      <x:c r="D107" s="293" t="n">
        <x:v>46234</x:v>
      </x:c>
      <x:c r="E107" s="294" t="n">
        <x:f>IF('초등학교+병설유치원(7월)'!BY39="",0,'초등학교+병설유치원(7월)'!BY39)</x:f>
        <x:v>17</x:v>
      </x:c>
      <x:c r="F107" s="294" t="n">
        <x:f>IF('초등학교+병설유치원(7월)'!BZ39="",0,'초등학교+병설유치원(7월)'!BZ39)</x:f>
        <x:v>0</x:v>
      </x:c>
      <x:c r="G107" s="294" t="n">
        <x:f>IF('초등학교+병설유치원(7월)'!CA39="",0,'초등학교+병설유치원(7월)'!CA39)</x:f>
        <x:v>0</x:v>
      </x:c>
      <x:c r="H107" s="294" t="n">
        <x:f>IF('초등학교+병설유치원(7월)'!CB39="",0,'초등학교+병설유치원(7월)'!CB39)</x:f>
        <x:v>0</x:v>
      </x:c>
      <x:c r="I107" s="294" t="n">
        <x:f>IF('초등학교+병설유치원(7월)'!CC39="",0,'초등학교+병설유치원(7월)'!CC39)</x:f>
        <x:v>0</x:v>
      </x:c>
      <x:c r="J107" s="296" t="n">
        <x:f>SUM(E107:I107)</x:f>
        <x:v>17</x:v>
      </x:c>
      <x:c r="K107" s="291" t="str">
        <x:v>7월</x:v>
      </x:c>
    </x:row>
    <x:row r="108">
      <x:c r="A108" s="291" t="str">
        <x:f>IF('초등학교+병설유치원(7월)'!A40="","",'초등학교+병설유치원(7월)'!A40)</x:f>
        <x:v>24-1</x:v>
      </x:c>
      <x:c r="B108" s="291" t="str">
        <x:v>병설유치원</x:v>
      </x:c>
      <x:c r="C108" s="291" t="str">
        <x:f>IF('초등학교+병설유치원(7월)'!B40="","",'초등학교+병설유치원(7월)'!B40)</x:f>
        <x:v>이리중앙초 병설유치원</x:v>
      </x:c>
      <x:c r="D108" s="293" t="n">
        <x:v>46231</x:v>
      </x:c>
      <x:c r="E108" s="294" t="n">
        <x:f>IF('초등학교+병설유치원(7월)'!BG40="",0,'초등학교+병설유치원(7월)'!BG40)</x:f>
        <x:v>4</x:v>
      </x:c>
      <x:c r="F108" s="294" t="n">
        <x:f>IF('초등학교+병설유치원(7월)'!BH40="",0,'초등학교+병설유치원(7월)'!BH40)</x:f>
        <x:v>0</x:v>
      </x:c>
      <x:c r="G108" s="294" t="n">
        <x:f>IF('초등학교+병설유치원(7월)'!BI40="",0,'초등학교+병설유치원(7월)'!BI40)</x:f>
        <x:v>0</x:v>
      </x:c>
      <x:c r="H108" s="294" t="n">
        <x:f>IF('초등학교+병설유치원(7월)'!BJ40="",0,'초등학교+병설유치원(7월)'!BJ40)</x:f>
        <x:v>0</x:v>
      </x:c>
      <x:c r="I108" s="294" t="n">
        <x:f>IF('초등학교+병설유치원(7월)'!BK40="",0,'초등학교+병설유치원(7월)'!BK40)</x:f>
        <x:v>0</x:v>
      </x:c>
      <x:c r="J108" s="296" t="n">
        <x:f>SUM(E108:I108)</x:f>
        <x:v>4</x:v>
      </x:c>
      <x:c r="K108" s="291" t="str">
        <x:v>7월</x:v>
      </x:c>
    </x:row>
    <x:row r="109">
      <x:c r="A109" s="291" t="str">
        <x:f>IF('초등학교+병설유치원(7월)'!A40="","",'초등학교+병설유치원(7월)'!A40)</x:f>
        <x:v>24-1</x:v>
      </x:c>
      <x:c r="B109" s="291" t="str">
        <x:v>병설유치원</x:v>
      </x:c>
      <x:c r="C109" s="291" t="str">
        <x:f>IF('초등학교+병설유치원(7월)'!B40="","",'초등학교+병설유치원(7월)'!B40)</x:f>
        <x:v>이리중앙초 병설유치원</x:v>
      </x:c>
      <x:c r="D109" s="293" t="n">
        <x:v>46232</x:v>
      </x:c>
      <x:c r="E109" s="294" t="n">
        <x:f>IF('초등학교+병설유치원(7월)'!BM40="",0,'초등학교+병설유치원(7월)'!BM40)</x:f>
        <x:v>4</x:v>
      </x:c>
      <x:c r="F109" s="294" t="n">
        <x:f>IF('초등학교+병설유치원(7월)'!BN40="",0,'초등학교+병설유치원(7월)'!BN40)</x:f>
        <x:v>0</x:v>
      </x:c>
      <x:c r="G109" s="294" t="n">
        <x:f>IF('초등학교+병설유치원(7월)'!BO40="",0,'초등학교+병설유치원(7월)'!BO40)</x:f>
        <x:v>0</x:v>
      </x:c>
      <x:c r="H109" s="294" t="n">
        <x:f>IF('초등학교+병설유치원(7월)'!BP40="",0,'초등학교+병설유치원(7월)'!BP40)</x:f>
        <x:v>0</x:v>
      </x:c>
      <x:c r="I109" s="294" t="n">
        <x:f>IF('초등학교+병설유치원(7월)'!BQ40="",0,'초등학교+병설유치원(7월)'!BQ40)</x:f>
        <x:v>0</x:v>
      </x:c>
      <x:c r="J109" s="296" t="n">
        <x:f>SUM(E109:I109)</x:f>
        <x:v>4</x:v>
      </x:c>
      <x:c r="K109" s="291" t="str">
        <x:v>7월</x:v>
      </x:c>
    </x:row>
    <x:row r="110">
      <x:c r="A110" s="291" t="str">
        <x:f>IF('초등학교+병설유치원(7월)'!A40="","",'초등학교+병설유치원(7월)'!A40)</x:f>
        <x:v>24-1</x:v>
      </x:c>
      <x:c r="B110" s="291" t="str">
        <x:v>병설유치원</x:v>
      </x:c>
      <x:c r="C110" s="291" t="str">
        <x:f>IF('초등학교+병설유치원(7월)'!B40="","",'초등학교+병설유치원(7월)'!B40)</x:f>
        <x:v>이리중앙초 병설유치원</x:v>
      </x:c>
      <x:c r="D110" s="293" t="n">
        <x:v>46233</x:v>
      </x:c>
      <x:c r="E110" s="294" t="n">
        <x:f>IF('초등학교+병설유치원(7월)'!BS40="",0,'초등학교+병설유치원(7월)'!BS40)</x:f>
        <x:v>4</x:v>
      </x:c>
      <x:c r="F110" s="294" t="n">
        <x:f>IF('초등학교+병설유치원(7월)'!BT40="",0,'초등학교+병설유치원(7월)'!BT40)</x:f>
        <x:v>0</x:v>
      </x:c>
      <x:c r="G110" s="294" t="n">
        <x:f>IF('초등학교+병설유치원(7월)'!BU40="",0,'초등학교+병설유치원(7월)'!BU40)</x:f>
        <x:v>0</x:v>
      </x:c>
      <x:c r="H110" s="294" t="n">
        <x:f>IF('초등학교+병설유치원(7월)'!BV40="",0,'초등학교+병설유치원(7월)'!BV40)</x:f>
        <x:v>0</x:v>
      </x:c>
      <x:c r="I110" s="294" t="n">
        <x:f>IF('초등학교+병설유치원(7월)'!BW40="",0,'초등학교+병설유치원(7월)'!BW40)</x:f>
        <x:v>0</x:v>
      </x:c>
      <x:c r="J110" s="296" t="n">
        <x:f>SUM(E110:I110)</x:f>
        <x:v>4</x:v>
      </x:c>
      <x:c r="K110" s="291" t="str">
        <x:v>7월</x:v>
      </x:c>
    </x:row>
    <x:row r="111">
      <x:c r="A111" s="291" t="str">
        <x:f>IF('초등학교+병설유치원(7월)'!A40="","",'초등학교+병설유치원(7월)'!A40)</x:f>
        <x:v>24-1</x:v>
      </x:c>
      <x:c r="B111" s="291" t="str">
        <x:v>병설유치원</x:v>
      </x:c>
      <x:c r="C111" s="291" t="str">
        <x:f>IF('초등학교+병설유치원(7월)'!B40="","",'초등학교+병설유치원(7월)'!B40)</x:f>
        <x:v>이리중앙초 병설유치원</x:v>
      </x:c>
      <x:c r="D111" s="293" t="n">
        <x:v>46234</x:v>
      </x:c>
      <x:c r="E111" s="294" t="n">
        <x:f>IF('초등학교+병설유치원(7월)'!BY40="",0,'초등학교+병설유치원(7월)'!BY40)</x:f>
        <x:v>4</x:v>
      </x:c>
      <x:c r="F111" s="294" t="n">
        <x:f>IF('초등학교+병설유치원(7월)'!BZ40="",0,'초등학교+병설유치원(7월)'!BZ40)</x:f>
        <x:v>0</x:v>
      </x:c>
      <x:c r="G111" s="294" t="n">
        <x:f>IF('초등학교+병설유치원(7월)'!CA40="",0,'초등학교+병설유치원(7월)'!CA40)</x:f>
        <x:v>0</x:v>
      </x:c>
      <x:c r="H111" s="294" t="n">
        <x:f>IF('초등학교+병설유치원(7월)'!CB40="",0,'초등학교+병설유치원(7월)'!CB40)</x:f>
        <x:v>0</x:v>
      </x:c>
      <x:c r="I111" s="294" t="n">
        <x:f>IF('초등학교+병설유치원(7월)'!CC40="",0,'초등학교+병설유치원(7월)'!CC40)</x:f>
        <x:v>0</x:v>
      </x:c>
      <x:c r="J111" s="296" t="n">
        <x:f>SUM(E111:I111)</x:f>
        <x:v>4</x:v>
      </x:c>
      <x:c r="K111" s="291" t="str">
        <x:v>7월</x:v>
      </x:c>
    </x:row>
    <x:row r="112">
      <x:c r="A112" s="291" t="n">
        <x:f>IF('초등학교+병설유치원(7월)'!A42="","",'초등학교+병설유치원(7월)'!A42)</x:f>
        <x:v>26</x:v>
      </x:c>
      <x:c r="B112" s="291" t="str">
        <x:v>초등학교</x:v>
      </x:c>
      <x:c r="C112" s="291" t="str">
        <x:f>IF('초등학교+병설유치원(7월)'!B42="","",'초등학교+병설유치원(7월)'!B42)</x:f>
        <x:v>이리팔봉초</x:v>
      </x:c>
      <x:c r="D112" s="293" t="n">
        <x:v>46232</x:v>
      </x:c>
      <x:c r="E112" s="294" t="n">
        <x:f>IF('초등학교+병설유치원(7월)'!BM42="",0,'초등학교+병설유치원(7월)'!BM42)</x:f>
        <x:v>15</x:v>
      </x:c>
      <x:c r="F112" s="294" t="n">
        <x:f>IF('초등학교+병설유치원(7월)'!BN42="",0,'초등학교+병설유치원(7월)'!BN42)</x:f>
        <x:v>17</x:v>
      </x:c>
      <x:c r="G112" s="294" t="n">
        <x:f>IF('초등학교+병설유치원(7월)'!BO42="",0,'초등학교+병설유치원(7월)'!BO42)</x:f>
        <x:v>0</x:v>
      </x:c>
      <x:c r="H112" s="294" t="n">
        <x:f>IF('초등학교+병설유치원(7월)'!BP42="",0,'초등학교+병설유치원(7월)'!BP42)</x:f>
        <x:v>0</x:v>
      </x:c>
      <x:c r="I112" s="294" t="n">
        <x:f>IF('초등학교+병설유치원(7월)'!BQ42="",0,'초등학교+병설유치원(7월)'!BQ42)</x:f>
        <x:v>0</x:v>
      </x:c>
      <x:c r="J112" s="296" t="n">
        <x:f>SUM(E112:I112)</x:f>
        <x:v>32</x:v>
      </x:c>
      <x:c r="K112" s="291" t="str">
        <x:v>7월</x:v>
      </x:c>
    </x:row>
    <x:row r="113">
      <x:c r="A113" s="291" t="n">
        <x:f>IF('초등학교+병설유치원(7월)'!A42="","",'초등학교+병설유치원(7월)'!A42)</x:f>
        <x:v>26</x:v>
      </x:c>
      <x:c r="B113" s="291" t="str">
        <x:v>초등학교</x:v>
      </x:c>
      <x:c r="C113" s="291" t="str">
        <x:f>IF('초등학교+병설유치원(7월)'!B42="","",'초등학교+병설유치원(7월)'!B42)</x:f>
        <x:v>이리팔봉초</x:v>
      </x:c>
      <x:c r="D113" s="293" t="n">
        <x:v>46233</x:v>
      </x:c>
      <x:c r="E113" s="294" t="n">
        <x:f>IF('초등학교+병설유치원(7월)'!BS42="",0,'초등학교+병설유치원(7월)'!BS42)</x:f>
        <x:v>15</x:v>
      </x:c>
      <x:c r="F113" s="294" t="n">
        <x:f>IF('초등학교+병설유치원(7월)'!BT42="",0,'초등학교+병설유치원(7월)'!BT42)</x:f>
        <x:v>17</x:v>
      </x:c>
      <x:c r="G113" s="294" t="n">
        <x:f>IF('초등학교+병설유치원(7월)'!BU42="",0,'초등학교+병설유치원(7월)'!BU42)</x:f>
        <x:v>0</x:v>
      </x:c>
      <x:c r="H113" s="294" t="n">
        <x:f>IF('초등학교+병설유치원(7월)'!BV42="",0,'초등학교+병설유치원(7월)'!BV42)</x:f>
        <x:v>0</x:v>
      </x:c>
      <x:c r="I113" s="294" t="n">
        <x:f>IF('초등학교+병설유치원(7월)'!BW42="",0,'초등학교+병설유치원(7월)'!BW42)</x:f>
        <x:v>0</x:v>
      </x:c>
      <x:c r="J113" s="296" t="n">
        <x:f>SUM(E113:I113)</x:f>
        <x:v>32</x:v>
      </x:c>
      <x:c r="K113" s="291" t="str">
        <x:v>7월</x:v>
      </x:c>
    </x:row>
    <x:row r="114">
      <x:c r="A114" s="291" t="n">
        <x:f>IF('초등학교+병설유치원(7월)'!A42="","",'초등학교+병설유치원(7월)'!A42)</x:f>
        <x:v>26</x:v>
      </x:c>
      <x:c r="B114" s="291" t="str">
        <x:v>초등학교</x:v>
      </x:c>
      <x:c r="C114" s="291" t="str">
        <x:f>IF('초등학교+병설유치원(7월)'!B42="","",'초등학교+병설유치원(7월)'!B42)</x:f>
        <x:v>이리팔봉초</x:v>
      </x:c>
      <x:c r="D114" s="293" t="n">
        <x:v>46234</x:v>
      </x:c>
      <x:c r="E114" s="294" t="n">
        <x:f>IF('초등학교+병설유치원(7월)'!BY42="",0,'초등학교+병설유치원(7월)'!BY42)</x:f>
        <x:v>15</x:v>
      </x:c>
      <x:c r="F114" s="294" t="n">
        <x:f>IF('초등학교+병설유치원(7월)'!BZ42="",0,'초등학교+병설유치원(7월)'!BZ42)</x:f>
        <x:v>17</x:v>
      </x:c>
      <x:c r="G114" s="294" t="n">
        <x:f>IF('초등학교+병설유치원(7월)'!CA42="",0,'초등학교+병설유치원(7월)'!CA42)</x:f>
        <x:v>0</x:v>
      </x:c>
      <x:c r="H114" s="294" t="n">
        <x:f>IF('초등학교+병설유치원(7월)'!CB42="",0,'초등학교+병설유치원(7월)'!CB42)</x:f>
        <x:v>0</x:v>
      </x:c>
      <x:c r="I114" s="294" t="n">
        <x:f>IF('초등학교+병설유치원(7월)'!CC42="",0,'초등학교+병설유치원(7월)'!CC42)</x:f>
        <x:v>0</x:v>
      </x:c>
      <x:c r="J114" s="296" t="n">
        <x:f>SUM(E114:I114)</x:f>
        <x:v>32</x:v>
      </x:c>
      <x:c r="K114" s="291" t="str">
        <x:v>7월</x:v>
      </x:c>
    </x:row>
    <x:row r="115">
      <x:c r="A115" s="291" t="n">
        <x:f>IF('초등학교+병설유치원(7월)'!A43="","",'초등학교+병설유치원(7월)'!A43)</x:f>
        <x:v>27</x:v>
      </x:c>
      <x:c r="B115" s="291" t="str">
        <x:v>초등학교</x:v>
      </x:c>
      <x:c r="C115" s="291" t="str">
        <x:f>IF('초등학교+병설유치원(7월)'!B43="","",'초등학교+병설유치원(7월)'!B43)</x:f>
        <x:v>익산가온초</x:v>
      </x:c>
      <x:c r="D115" s="293" t="n">
        <x:v>46232</x:v>
      </x:c>
      <x:c r="E115" s="294" t="n">
        <x:f>IF('초등학교+병설유치원(7월)'!BM43="",0,'초등학교+병설유치원(7월)'!BM43)</x:f>
        <x:v>19</x:v>
      </x:c>
      <x:c r="F115" s="294" t="n">
        <x:f>IF('초등학교+병설유치원(7월)'!BN43="",0,'초등학교+병설유치원(7월)'!BN43)</x:f>
        <x:v>18</x:v>
      </x:c>
      <x:c r="G115" s="294" t="n">
        <x:f>IF('초등학교+병설유치원(7월)'!BO43="",0,'초등학교+병설유치원(7월)'!BO43)</x:f>
        <x:v>16</x:v>
      </x:c>
      <x:c r="H115" s="294" t="n">
        <x:f>IF('초등학교+병설유치원(7월)'!BP43="",0,'초등학교+병설유치원(7월)'!BP43)</x:f>
        <x:v>0</x:v>
      </x:c>
      <x:c r="I115" s="294" t="n">
        <x:f>IF('초등학교+병설유치원(7월)'!BQ43="",0,'초등학교+병설유치원(7월)'!BQ43)</x:f>
        <x:v>0</x:v>
      </x:c>
      <x:c r="J115" s="296" t="n">
        <x:f>SUM(E115:I115)</x:f>
        <x:v>53</x:v>
      </x:c>
      <x:c r="K115" s="291" t="str">
        <x:v>7월</x:v>
      </x:c>
    </x:row>
    <x:row r="116">
      <x:c r="A116" s="291" t="n">
        <x:f>IF('초등학교+병설유치원(7월)'!A43="","",'초등학교+병설유치원(7월)'!A43)</x:f>
        <x:v>27</x:v>
      </x:c>
      <x:c r="B116" s="291" t="str">
        <x:v>초등학교</x:v>
      </x:c>
      <x:c r="C116" s="291" t="str">
        <x:f>IF('초등학교+병설유치원(7월)'!B43="","",'초등학교+병설유치원(7월)'!B43)</x:f>
        <x:v>익산가온초</x:v>
      </x:c>
      <x:c r="D116" s="293" t="n">
        <x:v>46233</x:v>
      </x:c>
      <x:c r="E116" s="294" t="n">
        <x:f>IF('초등학교+병설유치원(7월)'!BS43="",0,'초등학교+병설유치원(7월)'!BS43)</x:f>
        <x:v>19</x:v>
      </x:c>
      <x:c r="F116" s="294" t="n">
        <x:f>IF('초등학교+병설유치원(7월)'!BT43="",0,'초등학교+병설유치원(7월)'!BT43)</x:f>
        <x:v>18</x:v>
      </x:c>
      <x:c r="G116" s="294" t="n">
        <x:f>IF('초등학교+병설유치원(7월)'!BU43="",0,'초등학교+병설유치원(7월)'!BU43)</x:f>
        <x:v>16</x:v>
      </x:c>
      <x:c r="H116" s="294" t="n">
        <x:f>IF('초등학교+병설유치원(7월)'!BV43="",0,'초등학교+병설유치원(7월)'!BV43)</x:f>
        <x:v>0</x:v>
      </x:c>
      <x:c r="I116" s="294" t="n">
        <x:f>IF('초등학교+병설유치원(7월)'!BW43="",0,'초등학교+병설유치원(7월)'!BW43)</x:f>
        <x:v>0</x:v>
      </x:c>
      <x:c r="J116" s="296" t="n">
        <x:f>SUM(E116:I116)</x:f>
        <x:v>53</x:v>
      </x:c>
      <x:c r="K116" s="291" t="str">
        <x:v>7월</x:v>
      </x:c>
    </x:row>
    <x:row r="117">
      <x:c r="A117" s="291" t="n">
        <x:f>IF('초등학교+병설유치원(7월)'!A43="","",'초등학교+병설유치원(7월)'!A43)</x:f>
        <x:v>27</x:v>
      </x:c>
      <x:c r="B117" s="291" t="str">
        <x:v>초등학교</x:v>
      </x:c>
      <x:c r="C117" s="291" t="str">
        <x:f>IF('초등학교+병설유치원(7월)'!B43="","",'초등학교+병설유치원(7월)'!B43)</x:f>
        <x:v>익산가온초</x:v>
      </x:c>
      <x:c r="D117" s="293" t="n">
        <x:v>46234</x:v>
      </x:c>
      <x:c r="E117" s="294" t="n">
        <x:f>IF('초등학교+병설유치원(7월)'!BY43="",0,'초등학교+병설유치원(7월)'!BY43)</x:f>
        <x:v>19</x:v>
      </x:c>
      <x:c r="F117" s="294" t="n">
        <x:f>IF('초등학교+병설유치원(7월)'!BZ43="",0,'초등학교+병설유치원(7월)'!BZ43)</x:f>
        <x:v>18</x:v>
      </x:c>
      <x:c r="G117" s="294" t="n">
        <x:f>IF('초등학교+병설유치원(7월)'!CA43="",0,'초등학교+병설유치원(7월)'!CA43)</x:f>
        <x:v>16</x:v>
      </x:c>
      <x:c r="H117" s="294" t="n">
        <x:f>IF('초등학교+병설유치원(7월)'!CB43="",0,'초등학교+병설유치원(7월)'!CB43)</x:f>
        <x:v>0</x:v>
      </x:c>
      <x:c r="I117" s="294" t="n">
        <x:f>IF('초등학교+병설유치원(7월)'!CC43="",0,'초등학교+병설유치원(7월)'!CC43)</x:f>
        <x:v>0</x:v>
      </x:c>
      <x:c r="J117" s="296" t="n">
        <x:f>SUM(E117:I117)</x:f>
        <x:v>53</x:v>
      </x:c>
      <x:c r="K117" s="291" t="str">
        <x:v>7월</x:v>
      </x:c>
    </x:row>
    <x:row r="118">
      <x:c r="A118" s="291" t="n">
        <x:f>IF('초등학교+병설유치원(7월)'!A45="","",'초등학교+병설유치원(7월)'!A45)</x:f>
        <x:v>28</x:v>
      </x:c>
      <x:c r="B118" s="291" t="str">
        <x:v>초등학교</x:v>
      </x:c>
      <x:c r="C118" s="291" t="str">
        <x:f>IF('초등학교+병설유치원(7월)'!B45="","",'초등학교+병설유치원(7월)'!B45)</x:f>
        <x:v>익산궁동초</x:v>
      </x:c>
      <x:c r="D118" s="293" t="n">
        <x:v>46231</x:v>
      </x:c>
      <x:c r="E118" s="294" t="n">
        <x:f>IF('초등학교+병설유치원(7월)'!BG45="",0,'초등학교+병설유치원(7월)'!BG45)</x:f>
        <x:v>20</x:v>
      </x:c>
      <x:c r="F118" s="294" t="n">
        <x:f>IF('초등학교+병설유치원(7월)'!BH45="",0,'초등학교+병설유치원(7월)'!BH45)</x:f>
        <x:v>21</x:v>
      </x:c>
      <x:c r="G118" s="294" t="n">
        <x:f>IF('초등학교+병설유치원(7월)'!BI45="",0,'초등학교+병설유치원(7월)'!BI45)</x:f>
        <x:v>0</x:v>
      </x:c>
      <x:c r="H118" s="294" t="n">
        <x:f>IF('초등학교+병설유치원(7월)'!BJ45="",0,'초등학교+병설유치원(7월)'!BJ45)</x:f>
        <x:v>0</x:v>
      </x:c>
      <x:c r="I118" s="294" t="n">
        <x:f>IF('초등학교+병설유치원(7월)'!BK45="",0,'초등학교+병설유치원(7월)'!BK45)</x:f>
        <x:v>11</x:v>
      </x:c>
      <x:c r="J118" s="296" t="n">
        <x:f>SUM(E118:I118)</x:f>
        <x:v>52</x:v>
      </x:c>
      <x:c r="K118" s="291" t="str">
        <x:v>7월</x:v>
      </x:c>
    </x:row>
    <x:row r="119">
      <x:c r="A119" s="291" t="n">
        <x:f>IF('초등학교+병설유치원(7월)'!A46="","",'초등학교+병설유치원(7월)'!A46)</x:f>
        <x:v>29</x:v>
      </x:c>
      <x:c r="B119" s="291" t="str">
        <x:v>초등학교</x:v>
      </x:c>
      <x:c r="C119" s="291" t="str">
        <x:f>IF('초등학교+병설유치원(7월)'!B46="","",'초등학교+병설유치원(7월)'!B46)</x:f>
        <x:v>익산어양초</x:v>
      </x:c>
      <x:c r="D119" s="293" t="n">
        <x:v>46230</x:v>
      </x:c>
      <x:c r="E119" s="294" t="n">
        <x:f>IF('초등학교+병설유치원(7월)'!BA46="",0,'초등학교+병설유치원(7월)'!BA46)</x:f>
        <x:v>23</x:v>
      </x:c>
      <x:c r="F119" s="294" t="n">
        <x:f>IF('초등학교+병설유치원(7월)'!BB46="",0,'초등학교+병설유치원(7월)'!BB46)</x:f>
        <x:v>22</x:v>
      </x:c>
      <x:c r="G119" s="294" t="n">
        <x:f>IF('초등학교+병설유치원(7월)'!BC46="",0,'초등학교+병설유치원(7월)'!BC46)</x:f>
        <x:v>0</x:v>
      </x:c>
      <x:c r="H119" s="294" t="n">
        <x:f>IF('초등학교+병설유치원(7월)'!BD46="",0,'초등학교+병설유치원(7월)'!BD46)</x:f>
        <x:v>0</x:v>
      </x:c>
      <x:c r="I119" s="294" t="n">
        <x:f>IF('초등학교+병설유치원(7월)'!BE46="",0,'초등학교+병설유치원(7월)'!BE46)</x:f>
        <x:v>0</x:v>
      </x:c>
      <x:c r="J119" s="296" t="n">
        <x:f>SUM(E119:I119)</x:f>
        <x:v>45</x:v>
      </x:c>
      <x:c r="K119" s="291" t="str">
        <x:v>7월</x:v>
      </x:c>
    </x:row>
    <x:row r="120">
      <x:c r="A120" s="291" t="n">
        <x:f>IF('초등학교+병설유치원(7월)'!A46="","",'초등학교+병설유치원(7월)'!A46)</x:f>
        <x:v>29</x:v>
      </x:c>
      <x:c r="B120" s="291" t="str">
        <x:v>초등학교</x:v>
      </x:c>
      <x:c r="C120" s="291" t="str">
        <x:f>IF('초등학교+병설유치원(7월)'!B46="","",'초등학교+병설유치원(7월)'!B46)</x:f>
        <x:v>익산어양초</x:v>
      </x:c>
      <x:c r="D120" s="293" t="n">
        <x:v>46231</x:v>
      </x:c>
      <x:c r="E120" s="294" t="n">
        <x:f>IF('초등학교+병설유치원(7월)'!BG46="",0,'초등학교+병설유치원(7월)'!BG46)</x:f>
        <x:v>23</x:v>
      </x:c>
      <x:c r="F120" s="294" t="n">
        <x:f>IF('초등학교+병설유치원(7월)'!BH46="",0,'초등학교+병설유치원(7월)'!BH46)</x:f>
        <x:v>22</x:v>
      </x:c>
      <x:c r="G120" s="294" t="n">
        <x:f>IF('초등학교+병설유치원(7월)'!BI46="",0,'초등학교+병설유치원(7월)'!BI46)</x:f>
        <x:v>0</x:v>
      </x:c>
      <x:c r="H120" s="294" t="n">
        <x:f>IF('초등학교+병설유치원(7월)'!BJ46="",0,'초등학교+병설유치원(7월)'!BJ46)</x:f>
        <x:v>0</x:v>
      </x:c>
      <x:c r="I120" s="294" t="n">
        <x:f>IF('초등학교+병설유치원(7월)'!BK46="",0,'초등학교+병설유치원(7월)'!BK46)</x:f>
        <x:v>0</x:v>
      </x:c>
      <x:c r="J120" s="296" t="n">
        <x:f>SUM(E120:I120)</x:f>
        <x:v>45</x:v>
      </x:c>
      <x:c r="K120" s="291" t="str">
        <x:v>7월</x:v>
      </x:c>
    </x:row>
    <x:row r="121">
      <x:c r="A121" s="291" t="n">
        <x:f>IF('초등학교+병설유치원(7월)'!A46="","",'초등학교+병설유치원(7월)'!A46)</x:f>
        <x:v>29</x:v>
      </x:c>
      <x:c r="B121" s="291" t="str">
        <x:v>초등학교</x:v>
      </x:c>
      <x:c r="C121" s="291" t="str">
        <x:f>IF('초등학교+병설유치원(7월)'!B46="","",'초등학교+병설유치원(7월)'!B46)</x:f>
        <x:v>익산어양초</x:v>
      </x:c>
      <x:c r="D121" s="293" t="n">
        <x:v>46232</x:v>
      </x:c>
      <x:c r="E121" s="294" t="n">
        <x:f>IF('초등학교+병설유치원(7월)'!BM46="",0,'초등학교+병설유치원(7월)'!BM46)</x:f>
        <x:v>23</x:v>
      </x:c>
      <x:c r="F121" s="294" t="n">
        <x:f>IF('초등학교+병설유치원(7월)'!BN46="",0,'초등학교+병설유치원(7월)'!BN46)</x:f>
        <x:v>22</x:v>
      </x:c>
      <x:c r="G121" s="294" t="n">
        <x:f>IF('초등학교+병설유치원(7월)'!BO46="",0,'초등학교+병설유치원(7월)'!BO46)</x:f>
        <x:v>0</x:v>
      </x:c>
      <x:c r="H121" s="294" t="n">
        <x:f>IF('초등학교+병설유치원(7월)'!BP46="",0,'초등학교+병설유치원(7월)'!BP46)</x:f>
        <x:v>0</x:v>
      </x:c>
      <x:c r="I121" s="294" t="n">
        <x:f>IF('초등학교+병설유치원(7월)'!BQ46="",0,'초등학교+병설유치원(7월)'!BQ46)</x:f>
        <x:v>0</x:v>
      </x:c>
      <x:c r="J121" s="296" t="n">
        <x:f>SUM(E121:I121)</x:f>
        <x:v>45</x:v>
      </x:c>
      <x:c r="K121" s="291" t="str">
        <x:v>7월</x:v>
      </x:c>
    </x:row>
    <x:row r="122">
      <x:c r="A122" s="291" t="n">
        <x:f>IF('초등학교+병설유치원(7월)'!A46="","",'초등학교+병설유치원(7월)'!A46)</x:f>
        <x:v>29</x:v>
      </x:c>
      <x:c r="B122" s="291" t="str">
        <x:v>초등학교</x:v>
      </x:c>
      <x:c r="C122" s="291" t="str">
        <x:f>IF('초등학교+병설유치원(7월)'!B46="","",'초등학교+병설유치원(7월)'!B46)</x:f>
        <x:v>익산어양초</x:v>
      </x:c>
      <x:c r="D122" s="293" t="n">
        <x:v>46233</x:v>
      </x:c>
      <x:c r="E122" s="294" t="n">
        <x:f>IF('초등학교+병설유치원(7월)'!BS46="",0,'초등학교+병설유치원(7월)'!BS46)</x:f>
        <x:v>23</x:v>
      </x:c>
      <x:c r="F122" s="294" t="n">
        <x:f>IF('초등학교+병설유치원(7월)'!BT46="",0,'초등학교+병설유치원(7월)'!BT46)</x:f>
        <x:v>22</x:v>
      </x:c>
      <x:c r="G122" s="294" t="n">
        <x:f>IF('초등학교+병설유치원(7월)'!BU46="",0,'초등학교+병설유치원(7월)'!BU46)</x:f>
        <x:v>0</x:v>
      </x:c>
      <x:c r="H122" s="294" t="n">
        <x:f>IF('초등학교+병설유치원(7월)'!BV46="",0,'초등학교+병설유치원(7월)'!BV46)</x:f>
        <x:v>0</x:v>
      </x:c>
      <x:c r="I122" s="294" t="n">
        <x:f>IF('초등학교+병설유치원(7월)'!BW46="",0,'초등학교+병설유치원(7월)'!BW46)</x:f>
        <x:v>0</x:v>
      </x:c>
      <x:c r="J122" s="296" t="n">
        <x:f>SUM(E122:I122)</x:f>
        <x:v>45</x:v>
      </x:c>
      <x:c r="K122" s="291" t="str">
        <x:v>7월</x:v>
      </x:c>
    </x:row>
    <x:row r="123">
      <x:c r="A123" s="291" t="n">
        <x:f>IF('초등학교+병설유치원(7월)'!A46="","",'초등학교+병설유치원(7월)'!A46)</x:f>
        <x:v>29</x:v>
      </x:c>
      <x:c r="B123" s="291" t="str">
        <x:v>초등학교</x:v>
      </x:c>
      <x:c r="C123" s="291" t="str">
        <x:f>IF('초등학교+병설유치원(7월)'!B46="","",'초등학교+병설유치원(7월)'!B46)</x:f>
        <x:v>익산어양초</x:v>
      </x:c>
      <x:c r="D123" s="293" t="n">
        <x:v>46234</x:v>
      </x:c>
      <x:c r="E123" s="294" t="n">
        <x:f>IF('초등학교+병설유치원(7월)'!BY46="",0,'초등학교+병설유치원(7월)'!BY46)</x:f>
        <x:v>23</x:v>
      </x:c>
      <x:c r="F123" s="294" t="n">
        <x:f>IF('초등학교+병설유치원(7월)'!BZ46="",0,'초등학교+병설유치원(7월)'!BZ46)</x:f>
        <x:v>22</x:v>
      </x:c>
      <x:c r="G123" s="294" t="n">
        <x:f>IF('초등학교+병설유치원(7월)'!CA46="",0,'초등학교+병설유치원(7월)'!CA46)</x:f>
        <x:v>0</x:v>
      </x:c>
      <x:c r="H123" s="294" t="n">
        <x:f>IF('초등학교+병설유치원(7월)'!CB46="",0,'초등학교+병설유치원(7월)'!CB46)</x:f>
        <x:v>0</x:v>
      </x:c>
      <x:c r="I123" s="294" t="n">
        <x:f>IF('초등학교+병설유치원(7월)'!CC46="",0,'초등학교+병설유치원(7월)'!CC46)</x:f>
        <x:v>0</x:v>
      </x:c>
      <x:c r="J123" s="296" t="n">
        <x:f>SUM(E123:I123)</x:f>
        <x:v>45</x:v>
      </x:c>
      <x:c r="K123" s="291" t="str">
        <x:v>7월</x:v>
      </x:c>
    </x:row>
    <x:row r="124">
      <x:c r="A124" s="291" t="n">
        <x:f>IF('초등학교+병설유치원(7월)'!A47="","",'초등학교+병설유치원(7월)'!A47)</x:f>
        <x:v>30</x:v>
      </x:c>
      <x:c r="B124" s="291" t="str">
        <x:v>초등학교</x:v>
      </x:c>
      <x:c r="C124" s="291" t="str">
        <x:f>IF('초등학교+병설유치원(7월)'!B47="","",'초등학교+병설유치원(7월)'!B47)</x:f>
        <x:v>익산옥야초</x:v>
      </x:c>
      <x:c r="D124" s="293" t="n">
        <x:v>46233</x:v>
      </x:c>
      <x:c r="E124" s="294" t="n">
        <x:f>IF('초등학교+병설유치원(7월)'!BS47="",0,'초등학교+병설유치원(7월)'!BS47)</x:f>
        <x:v>13</x:v>
      </x:c>
      <x:c r="F124" s="294" t="n">
        <x:f>IF('초등학교+병설유치원(7월)'!BT47="",0,'초등학교+병설유치원(7월)'!BT47)</x:f>
        <x:v>0</x:v>
      </x:c>
      <x:c r="G124" s="294" t="n">
        <x:f>IF('초등학교+병설유치원(7월)'!BU47="",0,'초등학교+병설유치원(7월)'!BU47)</x:f>
        <x:v>0</x:v>
      </x:c>
      <x:c r="H124" s="294" t="n">
        <x:f>IF('초등학교+병설유치원(7월)'!BV47="",0,'초등학교+병설유치원(7월)'!BV47)</x:f>
        <x:v>0</x:v>
      </x:c>
      <x:c r="I124" s="294" t="n">
        <x:f>IF('초등학교+병설유치원(7월)'!BW47="",0,'초등학교+병설유치원(7월)'!BW47)</x:f>
        <x:v>0</x:v>
      </x:c>
      <x:c r="J124" s="296" t="n">
        <x:f>SUM(E124:I124)</x:f>
        <x:v>13</x:v>
      </x:c>
      <x:c r="K124" s="291" t="str">
        <x:v>7월</x:v>
      </x:c>
    </x:row>
    <x:row r="125">
      <x:c r="A125" s="291" t="n">
        <x:f>IF('초등학교+병설유치원(7월)'!A47="","",'초등학교+병설유치원(7월)'!A47)</x:f>
        <x:v>30</x:v>
      </x:c>
      <x:c r="B125" s="291" t="str">
        <x:v>초등학교</x:v>
      </x:c>
      <x:c r="C125" s="291" t="str">
        <x:f>IF('초등학교+병설유치원(7월)'!B47="","",'초등학교+병설유치원(7월)'!B47)</x:f>
        <x:v>익산옥야초</x:v>
      </x:c>
      <x:c r="D125" s="293" t="n">
        <x:v>46234</x:v>
      </x:c>
      <x:c r="E125" s="294" t="n">
        <x:f>IF('초등학교+병설유치원(7월)'!BY47="",0,'초등학교+병설유치원(7월)'!BY47)</x:f>
        <x:v>13</x:v>
      </x:c>
      <x:c r="F125" s="294" t="n">
        <x:f>IF('초등학교+병설유치원(7월)'!BZ47="",0,'초등학교+병설유치원(7월)'!BZ47)</x:f>
        <x:v>0</x:v>
      </x:c>
      <x:c r="G125" s="294" t="n">
        <x:f>IF('초등학교+병설유치원(7월)'!CA47="",0,'초등학교+병설유치원(7월)'!CA47)</x:f>
        <x:v>0</x:v>
      </x:c>
      <x:c r="H125" s="294" t="n">
        <x:f>IF('초등학교+병설유치원(7월)'!CB47="",0,'초등학교+병설유치원(7월)'!CB47)</x:f>
        <x:v>0</x:v>
      </x:c>
      <x:c r="I125" s="294" t="n">
        <x:f>IF('초등학교+병설유치원(7월)'!CC47="",0,'초등학교+병설유치원(7월)'!CC47)</x:f>
        <x:v>0</x:v>
      </x:c>
      <x:c r="J125" s="296" t="n">
        <x:f>SUM(E125:I125)</x:f>
        <x:v>13</x:v>
      </x:c>
      <x:c r="K125" s="291" t="str">
        <x:v>7월</x:v>
      </x:c>
    </x:row>
    <x:row r="126">
      <x:c r="A126" s="291" t="n">
        <x:f>IF('초등학교+병설유치원(7월)'!A48="","",'초등학교+병설유치원(7월)'!A48)</x:f>
        <x:v>31</x:v>
      </x:c>
      <x:c r="B126" s="291" t="str">
        <x:v>초등학교</x:v>
      </x:c>
      <x:c r="C126" s="291" t="str">
        <x:f>IF('초등학교+병설유치원(7월)'!B48="","",'초등학교+병설유치원(7월)'!B48)</x:f>
        <x:v>익산초</x:v>
      </x:c>
      <x:c r="D126" s="293" t="n">
        <x:v>46232</x:v>
      </x:c>
      <x:c r="E126" s="294" t="n">
        <x:f>IF('초등학교+병설유치원(7월)'!BM48="",0,'초등학교+병설유치원(7월)'!BM48)</x:f>
        <x:v>23</x:v>
      </x:c>
      <x:c r="F126" s="294" t="n">
        <x:f>IF('초등학교+병설유치원(7월)'!BN48="",0,'초등학교+병설유치원(7월)'!BN48)</x:f>
        <x:v>22</x:v>
      </x:c>
      <x:c r="G126" s="294" t="n">
        <x:f>IF('초등학교+병설유치원(7월)'!BO48="",0,'초등학교+병설유치원(7월)'!BO48)</x:f>
        <x:v>0</x:v>
      </x:c>
      <x:c r="H126" s="294" t="n">
        <x:f>IF('초등학교+병설유치원(7월)'!BP48="",0,'초등학교+병설유치원(7월)'!BP48)</x:f>
        <x:v>0</x:v>
      </x:c>
      <x:c r="I126" s="294" t="n">
        <x:f>IF('초등학교+병설유치원(7월)'!BQ48="",0,'초등학교+병설유치원(7월)'!BQ48)</x:f>
        <x:v>0</x:v>
      </x:c>
      <x:c r="J126" s="296" t="n">
        <x:f>SUM(E126:I126)</x:f>
        <x:v>45</x:v>
      </x:c>
      <x:c r="K126" s="291" t="str">
        <x:v>7월</x:v>
      </x:c>
    </x:row>
    <x:row r="127">
      <x:c r="A127" s="291" t="n">
        <x:f>IF('초등학교+병설유치원(7월)'!A48="","",'초등학교+병설유치원(7월)'!A48)</x:f>
        <x:v>31</x:v>
      </x:c>
      <x:c r="B127" s="291" t="str">
        <x:v>초등학교</x:v>
      </x:c>
      <x:c r="C127" s="291" t="str">
        <x:f>IF('초등학교+병설유치원(7월)'!B48="","",'초등학교+병설유치원(7월)'!B48)</x:f>
        <x:v>익산초</x:v>
      </x:c>
      <x:c r="D127" s="293" t="n">
        <x:v>46233</x:v>
      </x:c>
      <x:c r="E127" s="294" t="n">
        <x:f>IF('초등학교+병설유치원(7월)'!BS48="",0,'초등학교+병설유치원(7월)'!BS48)</x:f>
        <x:v>23</x:v>
      </x:c>
      <x:c r="F127" s="294" t="n">
        <x:f>IF('초등학교+병설유치원(7월)'!BT48="",0,'초등학교+병설유치원(7월)'!BT48)</x:f>
        <x:v>22</x:v>
      </x:c>
      <x:c r="G127" s="294" t="n">
        <x:f>IF('초등학교+병설유치원(7월)'!BU48="",0,'초등학교+병설유치원(7월)'!BU48)</x:f>
        <x:v>0</x:v>
      </x:c>
      <x:c r="H127" s="294" t="n">
        <x:f>IF('초등학교+병설유치원(7월)'!BV48="",0,'초등학교+병설유치원(7월)'!BV48)</x:f>
        <x:v>0</x:v>
      </x:c>
      <x:c r="I127" s="294" t="n">
        <x:f>IF('초등학교+병설유치원(7월)'!BW48="",0,'초등학교+병설유치원(7월)'!BW48)</x:f>
        <x:v>0</x:v>
      </x:c>
      <x:c r="J127" s="296" t="n">
        <x:f>SUM(E127:I127)</x:f>
        <x:v>45</x:v>
      </x:c>
      <x:c r="K127" s="291" t="str">
        <x:v>7월</x:v>
      </x:c>
    </x:row>
    <x:row r="128">
      <x:c r="A128" s="291" t="n">
        <x:f>IF('초등학교+병설유치원(7월)'!A48="","",'초등학교+병설유치원(7월)'!A48)</x:f>
        <x:v>31</x:v>
      </x:c>
      <x:c r="B128" s="291" t="str">
        <x:v>초등학교</x:v>
      </x:c>
      <x:c r="C128" s="291" t="str">
        <x:f>IF('초등학교+병설유치원(7월)'!B48="","",'초등학교+병설유치원(7월)'!B48)</x:f>
        <x:v>익산초</x:v>
      </x:c>
      <x:c r="D128" s="293" t="n">
        <x:v>46234</x:v>
      </x:c>
      <x:c r="E128" s="294" t="n">
        <x:f>IF('초등학교+병설유치원(7월)'!BY48="",0,'초등학교+병설유치원(7월)'!BY48)</x:f>
        <x:v>23</x:v>
      </x:c>
      <x:c r="F128" s="294" t="n">
        <x:f>IF('초등학교+병설유치원(7월)'!BZ48="",0,'초등학교+병설유치원(7월)'!BZ48)</x:f>
        <x:v>22</x:v>
      </x:c>
      <x:c r="G128" s="294" t="n">
        <x:f>IF('초등학교+병설유치원(7월)'!CA48="",0,'초등학교+병설유치원(7월)'!CA48)</x:f>
        <x:v>0</x:v>
      </x:c>
      <x:c r="H128" s="294" t="n">
        <x:f>IF('초등학교+병설유치원(7월)'!CB48="",0,'초등학교+병설유치원(7월)'!CB48)</x:f>
        <x:v>0</x:v>
      </x:c>
      <x:c r="I128" s="294" t="n">
        <x:f>IF('초등학교+병설유치원(7월)'!CC48="",0,'초등학교+병설유치원(7월)'!CC48)</x:f>
        <x:v>0</x:v>
      </x:c>
      <x:c r="J128" s="296" t="n">
        <x:f>SUM(E128:I128)</x:f>
        <x:v>45</x:v>
      </x:c>
      <x:c r="K128" s="291" t="str">
        <x:v>7월</x:v>
      </x:c>
    </x:row>
    <x:row r="129">
      <x:c r="A129" s="291" t="n">
        <x:f>IF('초등학교+병설유치원(7월)'!A49="","",'초등학교+병설유치원(7월)'!A49)</x:f>
        <x:v>32</x:v>
      </x:c>
      <x:c r="B129" s="291" t="str">
        <x:v>초등학교</x:v>
      </x:c>
      <x:c r="C129" s="291" t="str">
        <x:f>IF('초등학교+병설유치원(7월)'!B49="","",'초등학교+병설유치원(7월)'!B49)</x:f>
        <x:v>익산한벌초</x:v>
      </x:c>
      <x:c r="D129" s="293" t="n">
        <x:v>46233</x:v>
      </x:c>
      <x:c r="E129" s="294" t="n">
        <x:f>IF('초등학교+병설유치원(7월)'!BS49="",0,'초등학교+병설유치원(7월)'!BS49)</x:f>
        <x:v>19</x:v>
      </x:c>
      <x:c r="F129" s="294" t="n">
        <x:f>IF('초등학교+병설유치원(7월)'!BT49="",0,'초등학교+병설유치원(7월)'!BT49)</x:f>
        <x:v>16</x:v>
      </x:c>
      <x:c r="G129" s="294" t="n">
        <x:f>IF('초등학교+병설유치원(7월)'!BU49="",0,'초등학교+병설유치원(7월)'!BU49)</x:f>
        <x:v>0</x:v>
      </x:c>
      <x:c r="H129" s="294" t="n">
        <x:f>IF('초등학교+병설유치원(7월)'!BV49="",0,'초등학교+병설유치원(7월)'!BV49)</x:f>
        <x:v>0</x:v>
      </x:c>
      <x:c r="I129" s="294" t="n">
        <x:f>IF('초등학교+병설유치원(7월)'!BW49="",0,'초등학교+병설유치원(7월)'!BW49)</x:f>
        <x:v>0</x:v>
      </x:c>
      <x:c r="J129" s="296" t="n">
        <x:f>SUM(E129:I129)</x:f>
        <x:v>35</x:v>
      </x:c>
      <x:c r="K129" s="291" t="str">
        <x:v>7월</x:v>
      </x:c>
    </x:row>
    <x:row r="130">
      <x:c r="A130" s="291" t="n">
        <x:f>IF('초등학교+병설유치원(7월)'!A49="","",'초등학교+병설유치원(7월)'!A49)</x:f>
        <x:v>32</x:v>
      </x:c>
      <x:c r="B130" s="291" t="str">
        <x:v>초등학교</x:v>
      </x:c>
      <x:c r="C130" s="291" t="str">
        <x:f>IF('초등학교+병설유치원(7월)'!B49="","",'초등학교+병설유치원(7월)'!B49)</x:f>
        <x:v>익산한벌초</x:v>
      </x:c>
      <x:c r="D130" s="293" t="n">
        <x:v>46234</x:v>
      </x:c>
      <x:c r="E130" s="294" t="n">
        <x:f>IF('초등학교+병설유치원(7월)'!BY49="",0,'초등학교+병설유치원(7월)'!BY49)</x:f>
        <x:v>19</x:v>
      </x:c>
      <x:c r="F130" s="294" t="n">
        <x:f>IF('초등학교+병설유치원(7월)'!BZ49="",0,'초등학교+병설유치원(7월)'!BZ49)</x:f>
        <x:v>16</x:v>
      </x:c>
      <x:c r="G130" s="294" t="n">
        <x:f>IF('초등학교+병설유치원(7월)'!CA49="",0,'초등학교+병설유치원(7월)'!CA49)</x:f>
        <x:v>0</x:v>
      </x:c>
      <x:c r="H130" s="294" t="n">
        <x:f>IF('초등학교+병설유치원(7월)'!CB49="",0,'초등학교+병설유치원(7월)'!CB49)</x:f>
        <x:v>0</x:v>
      </x:c>
      <x:c r="I130" s="294" t="n">
        <x:f>IF('초등학교+병설유치원(7월)'!CC49="",0,'초등학교+병설유치원(7월)'!CC49)</x:f>
        <x:v>0</x:v>
      </x:c>
      <x:c r="J130" s="296" t="n">
        <x:f>SUM(E130:I130)</x:f>
        <x:v>35</x:v>
      </x:c>
      <x:c r="K130" s="291" t="str">
        <x:v>7월</x:v>
      </x:c>
    </x:row>
    <x:row r="131">
      <x:c r="A131" s="291" t="n">
        <x:f>IF('초등학교+병설유치원(8월)'!A9="","",'초등학교+병설유치원(8월)'!A9)</x:f>
        <x:v>1</x:v>
      </x:c>
      <x:c r="B131" s="291" t="str">
        <x:v>초등학교</x:v>
      </x:c>
      <x:c r="C131" s="291" t="str">
        <x:f>IF('초등학교+병설유치원(8월)'!B9="","",'초등학교+병설유치원(8월)'!B9)</x:f>
        <x:v>영만초</x:v>
      </x:c>
      <x:c r="D131" s="293" t="n">
        <x:v>46237</x:v>
      </x:c>
      <x:c r="E131" s="294" t="n">
        <x:f>IF('초등학교+병설유치원(8월)'!Q9="",0,'초등학교+병설유치원(8월)'!Q9)</x:f>
        <x:v>16</x:v>
      </x:c>
      <x:c r="F131" s="294" t="n">
        <x:f>IF('초등학교+병설유치원(8월)'!R9="",0,'초등학교+병설유치원(8월)'!R9)</x:f>
        <x:v>15</x:v>
      </x:c>
      <x:c r="G131" s="294" t="n">
        <x:f>IF('초등학교+병설유치원(8월)'!S9="",0,'초등학교+병설유치원(8월)'!S9)</x:f>
        <x:v>14</x:v>
      </x:c>
      <x:c r="H131" s="294" t="n">
        <x:f>IF('초등학교+병설유치원(8월)'!T9="",0,'초등학교+병설유치원(8월)'!T9)</x:f>
        <x:v>0</x:v>
      </x:c>
      <x:c r="I131" s="294" t="n">
        <x:f>IF('초등학교+병설유치원(8월)'!U9="",0,'초등학교+병설유치원(8월)'!U9)</x:f>
        <x:v>0</x:v>
      </x:c>
      <x:c r="J131" s="296" t="n">
        <x:f>SUM(E131:I131)</x:f>
        <x:v>45</x:v>
      </x:c>
      <x:c r="K131" s="291" t="str">
        <x:v>8월</x:v>
      </x:c>
    </x:row>
    <x:row r="132">
      <x:c r="A132" s="291" t="n">
        <x:f>IF('초등학교+병설유치원(8월)'!A9="","",'초등학교+병설유치원(8월)'!A9)</x:f>
        <x:v>1</x:v>
      </x:c>
      <x:c r="B132" s="291" t="str">
        <x:v>초등학교</x:v>
      </x:c>
      <x:c r="C132" s="291" t="str">
        <x:f>IF('초등학교+병설유치원(8월)'!B9="","",'초등학교+병설유치원(8월)'!B9)</x:f>
        <x:v>영만초</x:v>
      </x:c>
      <x:c r="D132" s="293" t="n">
        <x:v>46238</x:v>
      </x:c>
      <x:c r="E132" s="294" t="n">
        <x:f>IF('초등학교+병설유치원(8월)'!W9="",0,'초등학교+병설유치원(8월)'!W9)</x:f>
        <x:v>16</x:v>
      </x:c>
      <x:c r="F132" s="294" t="n">
        <x:f>IF('초등학교+병설유치원(8월)'!X9="",0,'초등학교+병설유치원(8월)'!X9)</x:f>
        <x:v>15</x:v>
      </x:c>
      <x:c r="G132" s="294" t="n">
        <x:f>IF('초등학교+병설유치원(8월)'!Y9="",0,'초등학교+병설유치원(8월)'!Y9)</x:f>
        <x:v>14</x:v>
      </x:c>
      <x:c r="H132" s="294" t="n">
        <x:f>IF('초등학교+병설유치원(8월)'!Z9="",0,'초등학교+병설유치원(8월)'!Z9)</x:f>
        <x:v>0</x:v>
      </x:c>
      <x:c r="I132" s="294" t="n">
        <x:f>IF('초등학교+병설유치원(8월)'!AA9="",0,'초등학교+병설유치원(8월)'!AA9)</x:f>
        <x:v>0</x:v>
      </x:c>
      <x:c r="J132" s="296" t="n">
        <x:f>SUM(E132:I132)</x:f>
        <x:v>45</x:v>
      </x:c>
      <x:c r="K132" s="291" t="str">
        <x:v>8월</x:v>
      </x:c>
    </x:row>
    <x:row r="133">
      <x:c r="A133" s="291" t="n">
        <x:f>IF('초등학교+병설유치원(8월)'!A9="","",'초등학교+병설유치원(8월)'!A9)</x:f>
        <x:v>1</x:v>
      </x:c>
      <x:c r="B133" s="291" t="str">
        <x:v>초등학교</x:v>
      </x:c>
      <x:c r="C133" s="291" t="str">
        <x:f>IF('초등학교+병설유치원(8월)'!B9="","",'초등학교+병설유치원(8월)'!B9)</x:f>
        <x:v>영만초</x:v>
      </x:c>
      <x:c r="D133" s="293" t="n">
        <x:v>46239</x:v>
      </x:c>
      <x:c r="E133" s="294" t="n">
        <x:f>IF('초등학교+병설유치원(8월)'!AC9="",0,'초등학교+병설유치원(8월)'!AC9)</x:f>
        <x:v>16</x:v>
      </x:c>
      <x:c r="F133" s="294" t="n">
        <x:f>IF('초등학교+병설유치원(8월)'!AD9="",0,'초등학교+병설유치원(8월)'!AD9)</x:f>
        <x:v>15</x:v>
      </x:c>
      <x:c r="G133" s="294" t="n">
        <x:f>IF('초등학교+병설유치원(8월)'!AE9="",0,'초등학교+병설유치원(8월)'!AE9)</x:f>
        <x:v>14</x:v>
      </x:c>
      <x:c r="H133" s="294" t="n">
        <x:f>IF('초등학교+병설유치원(8월)'!AF9="",0,'초등학교+병설유치원(8월)'!AF9)</x:f>
        <x:v>0</x:v>
      </x:c>
      <x:c r="I133" s="294" t="n">
        <x:f>IF('초등학교+병설유치원(8월)'!AG9="",0,'초등학교+병설유치원(8월)'!AG9)</x:f>
        <x:v>0</x:v>
      </x:c>
      <x:c r="J133" s="296" t="n">
        <x:f>SUM(E133:I133)</x:f>
        <x:v>45</x:v>
      </x:c>
      <x:c r="K133" s="291" t="str">
        <x:v>8월</x:v>
      </x:c>
    </x:row>
    <x:row r="134">
      <x:c r="A134" s="291" t="n">
        <x:f>IF('초등학교+병설유치원(8월)'!A9="","",'초등학교+병설유치원(8월)'!A9)</x:f>
        <x:v>1</x:v>
      </x:c>
      <x:c r="B134" s="291" t="str">
        <x:v>초등학교</x:v>
      </x:c>
      <x:c r="C134" s="291" t="str">
        <x:f>IF('초등학교+병설유치원(8월)'!B9="","",'초등학교+병설유치원(8월)'!B9)</x:f>
        <x:v>영만초</x:v>
      </x:c>
      <x:c r="D134" s="293" t="n">
        <x:v>46240</x:v>
      </x:c>
      <x:c r="E134" s="294" t="n">
        <x:f>IF('초등학교+병설유치원(8월)'!AI9="",0,'초등학교+병설유치원(8월)'!AI9)</x:f>
        <x:v>16</x:v>
      </x:c>
      <x:c r="F134" s="294" t="n">
        <x:f>IF('초등학교+병설유치원(8월)'!AJ9="",0,'초등학교+병설유치원(8월)'!AJ9)</x:f>
        <x:v>15</x:v>
      </x:c>
      <x:c r="G134" s="294" t="n">
        <x:f>IF('초등학교+병설유치원(8월)'!AK9="",0,'초등학교+병설유치원(8월)'!AK9)</x:f>
        <x:v>14</x:v>
      </x:c>
      <x:c r="H134" s="294" t="n">
        <x:f>IF('초등학교+병설유치원(8월)'!AL9="",0,'초등학교+병설유치원(8월)'!AL9)</x:f>
        <x:v>0</x:v>
      </x:c>
      <x:c r="I134" s="294" t="n">
        <x:f>IF('초등학교+병설유치원(8월)'!AM9="",0,'초등학교+병설유치원(8월)'!AM9)</x:f>
        <x:v>0</x:v>
      </x:c>
      <x:c r="J134" s="296" t="n">
        <x:f>SUM(E134:I134)</x:f>
        <x:v>45</x:v>
      </x:c>
      <x:c r="K134" s="291" t="str">
        <x:v>8월</x:v>
      </x:c>
    </x:row>
    <x:row r="135">
      <x:c r="A135" s="291" t="n">
        <x:f>IF('초등학교+병설유치원(8월)'!A9="","",'초등학교+병설유치원(8월)'!A9)</x:f>
        <x:v>1</x:v>
      </x:c>
      <x:c r="B135" s="291" t="str">
        <x:v>초등학교</x:v>
      </x:c>
      <x:c r="C135" s="291" t="str">
        <x:f>IF('초등학교+병설유치원(8월)'!B9="","",'초등학교+병설유치원(8월)'!B9)</x:f>
        <x:v>영만초</x:v>
      </x:c>
      <x:c r="D135" s="293" t="n">
        <x:v>46241</x:v>
      </x:c>
      <x:c r="E135" s="294" t="n">
        <x:f>IF('초등학교+병설유치원(8월)'!AO9="",0,'초등학교+병설유치원(8월)'!AO9)</x:f>
        <x:v>16</x:v>
      </x:c>
      <x:c r="F135" s="294" t="n">
        <x:f>IF('초등학교+병설유치원(8월)'!AP9="",0,'초등학교+병설유치원(8월)'!AP9)</x:f>
        <x:v>15</x:v>
      </x:c>
      <x:c r="G135" s="294" t="n">
        <x:f>IF('초등학교+병설유치원(8월)'!AQ9="",0,'초등학교+병설유치원(8월)'!AQ9)</x:f>
        <x:v>14</x:v>
      </x:c>
      <x:c r="H135" s="294" t="n">
        <x:f>IF('초등학교+병설유치원(8월)'!AR9="",0,'초등학교+병설유치원(8월)'!AR9)</x:f>
        <x:v>0</x:v>
      </x:c>
      <x:c r="I135" s="294" t="n">
        <x:f>IF('초등학교+병설유치원(8월)'!AS9="",0,'초등학교+병설유치원(8월)'!AS9)</x:f>
        <x:v>0</x:v>
      </x:c>
      <x:c r="J135" s="296" t="n">
        <x:f>SUM(E135:I135)</x:f>
        <x:v>45</x:v>
      </x:c>
      <x:c r="K135" s="291" t="str">
        <x:v>8월</x:v>
      </x:c>
    </x:row>
    <x:row r="136">
      <x:c r="A136" s="291" t="n">
        <x:f>IF('초등학교+병설유치원(8월)'!A9="","",'초등학교+병설유치원(8월)'!A9)</x:f>
        <x:v>1</x:v>
      </x:c>
      <x:c r="B136" s="291" t="str">
        <x:v>초등학교</x:v>
      </x:c>
      <x:c r="C136" s="291" t="str">
        <x:f>IF('초등학교+병설유치원(8월)'!B9="","",'초등학교+병설유치원(8월)'!B9)</x:f>
        <x:v>영만초</x:v>
      </x:c>
      <x:c r="D136" s="293" t="n">
        <x:v>46244</x:v>
      </x:c>
      <x:c r="E136" s="294" t="n">
        <x:f>IF('초등학교+병설유치원(8월)'!AU9="",0,'초등학교+병설유치원(8월)'!AU9)</x:f>
        <x:v>16</x:v>
      </x:c>
      <x:c r="F136" s="294" t="n">
        <x:f>IF('초등학교+병설유치원(8월)'!AV9="",0,'초등학교+병설유치원(8월)'!AV9)</x:f>
        <x:v>15</x:v>
      </x:c>
      <x:c r="G136" s="294" t="n">
        <x:f>IF('초등학교+병설유치원(8월)'!AW9="",0,'초등학교+병설유치원(8월)'!AW9)</x:f>
        <x:v>14</x:v>
      </x:c>
      <x:c r="H136" s="294" t="n">
        <x:f>IF('초등학교+병설유치원(8월)'!AX9="",0,'초등학교+병설유치원(8월)'!AX9)</x:f>
        <x:v>0</x:v>
      </x:c>
      <x:c r="I136" s="294" t="n">
        <x:f>IF('초등학교+병설유치원(8월)'!AY9="",0,'초등학교+병설유치원(8월)'!AY9)</x:f>
        <x:v>0</x:v>
      </x:c>
      <x:c r="J136" s="296" t="n">
        <x:f>SUM(E136:I136)</x:f>
        <x:v>45</x:v>
      </x:c>
      <x:c r="K136" s="291" t="str">
        <x:v>8월</x:v>
      </x:c>
    </x:row>
    <x:row r="137">
      <x:c r="A137" s="291" t="n">
        <x:f>IF('초등학교+병설유치원(8월)'!A9="","",'초등학교+병설유치원(8월)'!A9)</x:f>
        <x:v>1</x:v>
      </x:c>
      <x:c r="B137" s="291" t="str">
        <x:v>초등학교</x:v>
      </x:c>
      <x:c r="C137" s="291" t="str">
        <x:f>IF('초등학교+병설유치원(8월)'!B9="","",'초등학교+병설유치원(8월)'!B9)</x:f>
        <x:v>영만초</x:v>
      </x:c>
      <x:c r="D137" s="293" t="n">
        <x:v>46245</x:v>
      </x:c>
      <x:c r="E137" s="294" t="n">
        <x:f>IF('초등학교+병설유치원(8월)'!BA9="",0,'초등학교+병설유치원(8월)'!BA9)</x:f>
        <x:v>16</x:v>
      </x:c>
      <x:c r="F137" s="294" t="n">
        <x:f>IF('초등학교+병설유치원(8월)'!BB9="",0,'초등학교+병설유치원(8월)'!BB9)</x:f>
        <x:v>15</x:v>
      </x:c>
      <x:c r="G137" s="294" t="n">
        <x:f>IF('초등학교+병설유치원(8월)'!BC9="",0,'초등학교+병설유치원(8월)'!BC9)</x:f>
        <x:v>14</x:v>
      </x:c>
      <x:c r="H137" s="294" t="n">
        <x:f>IF('초등학교+병설유치원(8월)'!BD9="",0,'초등학교+병설유치원(8월)'!BD9)</x:f>
        <x:v>0</x:v>
      </x:c>
      <x:c r="I137" s="294" t="n">
        <x:f>IF('초등학교+병설유치원(8월)'!BE9="",0,'초등학교+병설유치원(8월)'!BE9)</x:f>
        <x:v>0</x:v>
      </x:c>
      <x:c r="J137" s="296" t="n">
        <x:f>SUM(E137:I137)</x:f>
        <x:v>45</x:v>
      </x:c>
      <x:c r="K137" s="291" t="str">
        <x:v>8월</x:v>
      </x:c>
    </x:row>
    <x:row r="138">
      <x:c r="A138" s="291" t="n">
        <x:f>IF('초등학교+병설유치원(8월)'!A9="","",'초등학교+병설유치원(8월)'!A9)</x:f>
        <x:v>1</x:v>
      </x:c>
      <x:c r="B138" s="291" t="str">
        <x:v>초등학교</x:v>
      </x:c>
      <x:c r="C138" s="291" t="str">
        <x:f>IF('초등학교+병설유치원(8월)'!B9="","",'초등학교+병설유치원(8월)'!B9)</x:f>
        <x:v>영만초</x:v>
      </x:c>
      <x:c r="D138" s="293" t="n">
        <x:v>46246</x:v>
      </x:c>
      <x:c r="E138" s="294" t="n">
        <x:f>IF('초등학교+병설유치원(8월)'!BG9="",0,'초등학교+병설유치원(8월)'!BG9)</x:f>
        <x:v>16</x:v>
      </x:c>
      <x:c r="F138" s="294" t="n">
        <x:f>IF('초등학교+병설유치원(8월)'!BH9="",0,'초등학교+병설유치원(8월)'!BH9)</x:f>
        <x:v>15</x:v>
      </x:c>
      <x:c r="G138" s="294" t="n">
        <x:f>IF('초등학교+병설유치원(8월)'!BI9="",0,'초등학교+병설유치원(8월)'!BI9)</x:f>
        <x:v>14</x:v>
      </x:c>
      <x:c r="H138" s="294" t="n">
        <x:f>IF('초등학교+병설유치원(8월)'!BJ9="",0,'초등학교+병설유치원(8월)'!BJ9)</x:f>
        <x:v>0</x:v>
      </x:c>
      <x:c r="I138" s="294" t="n">
        <x:f>IF('초등학교+병설유치원(8월)'!BK9="",0,'초등학교+병설유치원(8월)'!BK9)</x:f>
        <x:v>0</x:v>
      </x:c>
      <x:c r="J138" s="296" t="n">
        <x:f>SUM(E138:I138)</x:f>
        <x:v>45</x:v>
      </x:c>
      <x:c r="K138" s="291" t="str">
        <x:v>8월</x:v>
      </x:c>
    </x:row>
    <x:row r="139">
      <x:c r="A139" s="291" t="n">
        <x:f>IF('초등학교+병설유치원(8월)'!A9="","",'초등학교+병설유치원(8월)'!A9)</x:f>
        <x:v>1</x:v>
      </x:c>
      <x:c r="B139" s="291" t="str">
        <x:v>초등학교</x:v>
      </x:c>
      <x:c r="C139" s="291" t="str">
        <x:f>IF('초등학교+병설유치원(8월)'!B9="","",'초등학교+병설유치원(8월)'!B9)</x:f>
        <x:v>영만초</x:v>
      </x:c>
      <x:c r="D139" s="293" t="n">
        <x:v>46247</x:v>
      </x:c>
      <x:c r="E139" s="294" t="n">
        <x:f>IF('초등학교+병설유치원(8월)'!BM9="",0,'초등학교+병설유치원(8월)'!BM9)</x:f>
        <x:v>16</x:v>
      </x:c>
      <x:c r="F139" s="294" t="n">
        <x:f>IF('초등학교+병설유치원(8월)'!BN9="",0,'초등학교+병설유치원(8월)'!BN9)</x:f>
        <x:v>15</x:v>
      </x:c>
      <x:c r="G139" s="294" t="n">
        <x:f>IF('초등학교+병설유치원(8월)'!BO9="",0,'초등학교+병설유치원(8월)'!BO9)</x:f>
        <x:v>14</x:v>
      </x:c>
      <x:c r="H139" s="294" t="n">
        <x:f>IF('초등학교+병설유치원(8월)'!BP9="",0,'초등학교+병설유치원(8월)'!BP9)</x:f>
        <x:v>0</x:v>
      </x:c>
      <x:c r="I139" s="294" t="n">
        <x:f>IF('초등학교+병설유치원(8월)'!BQ9="",0,'초등학교+병설유치원(8월)'!BQ9)</x:f>
        <x:v>0</x:v>
      </x:c>
      <x:c r="J139" s="296" t="n">
        <x:f>SUM(E139:I139)</x:f>
        <x:v>45</x:v>
      </x:c>
      <x:c r="K139" s="291" t="str">
        <x:v>8월</x:v>
      </x:c>
    </x:row>
    <x:row r="140">
      <x:c r="A140" s="291" t="n">
        <x:f>IF('초등학교+병설유치원(8월)'!A9="","",'초등학교+병설유치원(8월)'!A9)</x:f>
        <x:v>1</x:v>
      </x:c>
      <x:c r="B140" s="291" t="str">
        <x:v>초등학교</x:v>
      </x:c>
      <x:c r="C140" s="291" t="str">
        <x:f>IF('초등학교+병설유치원(8월)'!B9="","",'초등학교+병설유치원(8월)'!B9)</x:f>
        <x:v>영만초</x:v>
      </x:c>
      <x:c r="D140" s="293" t="n">
        <x:v>46248</x:v>
      </x:c>
      <x:c r="E140" s="294" t="n">
        <x:f>IF('초등학교+병설유치원(8월)'!BS9="",0,'초등학교+병설유치원(8월)'!BS9)</x:f>
        <x:v>16</x:v>
      </x:c>
      <x:c r="F140" s="294" t="n">
        <x:f>IF('초등학교+병설유치원(8월)'!BT9="",0,'초등학교+병설유치원(8월)'!BT9)</x:f>
        <x:v>15</x:v>
      </x:c>
      <x:c r="G140" s="294" t="n">
        <x:f>IF('초등학교+병설유치원(8월)'!BU9="",0,'초등학교+병설유치원(8월)'!BU9)</x:f>
        <x:v>14</x:v>
      </x:c>
      <x:c r="H140" s="294" t="n">
        <x:f>IF('초등학교+병설유치원(8월)'!BV9="",0,'초등학교+병설유치원(8월)'!BV9)</x:f>
        <x:v>0</x:v>
      </x:c>
      <x:c r="I140" s="294" t="n">
        <x:f>IF('초등학교+병설유치원(8월)'!BW9="",0,'초등학교+병설유치원(8월)'!BW9)</x:f>
        <x:v>0</x:v>
      </x:c>
      <x:c r="J140" s="296" t="n">
        <x:f>SUM(E140:I140)</x:f>
        <x:v>45</x:v>
      </x:c>
      <x:c r="K140" s="291" t="str">
        <x:v>8월</x:v>
      </x:c>
    </x:row>
    <x:row r="141">
      <x:c r="A141" s="291" t="n">
        <x:f>IF('초등학교+병설유치원(8월)'!A10="","",'초등학교+병설유치원(8월)'!A10)</x:f>
        <x:v>2</x:v>
      </x:c>
      <x:c r="B141" s="291" t="str">
        <x:v>초등학교</x:v>
      </x:c>
      <x:c r="C141" s="291" t="str">
        <x:f>IF('초등학교+병설유치원(8월)'!B10="","",'초등학교+병설유치원(8월)'!B10)</x:f>
        <x:v>이리계문초</x:v>
      </x:c>
      <x:c r="D141" s="293" t="n">
        <x:v>46237</x:v>
      </x:c>
      <x:c r="E141" s="294" t="n">
        <x:f>IF('초등학교+병설유치원(8월)'!Q10="",0,'초등학교+병설유치원(8월)'!Q10)</x:f>
        <x:v>12</x:v>
      </x:c>
      <x:c r="F141" s="294" t="n">
        <x:f>IF('초등학교+병설유치원(8월)'!R10="",0,'초등학교+병설유치원(8월)'!R10)</x:f>
        <x:v>0</x:v>
      </x:c>
      <x:c r="G141" s="294" t="n">
        <x:f>IF('초등학교+병설유치원(8월)'!S10="",0,'초등학교+병설유치원(8월)'!S10)</x:f>
        <x:v>0</x:v>
      </x:c>
      <x:c r="H141" s="294" t="n">
        <x:f>IF('초등학교+병설유치원(8월)'!T10="",0,'초등학교+병설유치원(8월)'!T10)</x:f>
        <x:v>0</x:v>
      </x:c>
      <x:c r="I141" s="294" t="n">
        <x:f>IF('초등학교+병설유치원(8월)'!U10="",0,'초등학교+병설유치원(8월)'!U10)</x:f>
        <x:v>0</x:v>
      </x:c>
      <x:c r="J141" s="296" t="n">
        <x:f>SUM(E141:I141)</x:f>
        <x:v>12</x:v>
      </x:c>
      <x:c r="K141" s="291" t="str">
        <x:v>8월</x:v>
      </x:c>
    </x:row>
    <x:row r="142">
      <x:c r="A142" s="291" t="n">
        <x:f>IF('초등학교+병설유치원(8월)'!A10="","",'초등학교+병설유치원(8월)'!A10)</x:f>
        <x:v>2</x:v>
      </x:c>
      <x:c r="B142" s="291" t="str">
        <x:v>초등학교</x:v>
      </x:c>
      <x:c r="C142" s="291" t="str">
        <x:f>IF('초등학교+병설유치원(8월)'!B10="","",'초등학교+병설유치원(8월)'!B10)</x:f>
        <x:v>이리계문초</x:v>
      </x:c>
      <x:c r="D142" s="293" t="n">
        <x:v>46238</x:v>
      </x:c>
      <x:c r="E142" s="294" t="n">
        <x:f>IF('초등학교+병설유치원(8월)'!W10="",0,'초등학교+병설유치원(8월)'!W10)</x:f>
        <x:v>12</x:v>
      </x:c>
      <x:c r="F142" s="294" t="n">
        <x:f>IF('초등학교+병설유치원(8월)'!X10="",0,'초등학교+병설유치원(8월)'!X10)</x:f>
        <x:v>0</x:v>
      </x:c>
      <x:c r="G142" s="294" t="n">
        <x:f>IF('초등학교+병설유치원(8월)'!Y10="",0,'초등학교+병설유치원(8월)'!Y10)</x:f>
        <x:v>0</x:v>
      </x:c>
      <x:c r="H142" s="294" t="n">
        <x:f>IF('초등학교+병설유치원(8월)'!Z10="",0,'초등학교+병설유치원(8월)'!Z10)</x:f>
        <x:v>0</x:v>
      </x:c>
      <x:c r="I142" s="294" t="n">
        <x:f>IF('초등학교+병설유치원(8월)'!AA10="",0,'초등학교+병설유치원(8월)'!AA10)</x:f>
        <x:v>0</x:v>
      </x:c>
      <x:c r="J142" s="296" t="n">
        <x:f>SUM(E142:I142)</x:f>
        <x:v>12</x:v>
      </x:c>
      <x:c r="K142" s="291" t="str">
        <x:v>8월</x:v>
      </x:c>
    </x:row>
    <x:row r="143">
      <x:c r="A143" s="291" t="n">
        <x:f>IF('초등학교+병설유치원(8월)'!A10="","",'초등학교+병설유치원(8월)'!A10)</x:f>
        <x:v>2</x:v>
      </x:c>
      <x:c r="B143" s="291" t="str">
        <x:v>초등학교</x:v>
      </x:c>
      <x:c r="C143" s="291" t="str">
        <x:f>IF('초등학교+병설유치원(8월)'!B10="","",'초등학교+병설유치원(8월)'!B10)</x:f>
        <x:v>이리계문초</x:v>
      </x:c>
      <x:c r="D143" s="293" t="n">
        <x:v>46239</x:v>
      </x:c>
      <x:c r="E143" s="294" t="n">
        <x:f>IF('초등학교+병설유치원(8월)'!AC10="",0,'초등학교+병설유치원(8월)'!AC10)</x:f>
        <x:v>12</x:v>
      </x:c>
      <x:c r="F143" s="294" t="n">
        <x:f>IF('초등학교+병설유치원(8월)'!AD10="",0,'초등학교+병설유치원(8월)'!AD10)</x:f>
        <x:v>0</x:v>
      </x:c>
      <x:c r="G143" s="294" t="n">
        <x:f>IF('초등학교+병설유치원(8월)'!AE10="",0,'초등학교+병설유치원(8월)'!AE10)</x:f>
        <x:v>0</x:v>
      </x:c>
      <x:c r="H143" s="294" t="n">
        <x:f>IF('초등학교+병설유치원(8월)'!AF10="",0,'초등학교+병설유치원(8월)'!AF10)</x:f>
        <x:v>0</x:v>
      </x:c>
      <x:c r="I143" s="294" t="n">
        <x:f>IF('초등학교+병설유치원(8월)'!AG10="",0,'초등학교+병설유치원(8월)'!AG10)</x:f>
        <x:v>0</x:v>
      </x:c>
      <x:c r="J143" s="296" t="n">
        <x:f>SUM(E143:I143)</x:f>
        <x:v>12</x:v>
      </x:c>
      <x:c r="K143" s="291" t="str">
        <x:v>8월</x:v>
      </x:c>
    </x:row>
    <x:row r="144">
      <x:c r="A144" s="291" t="n">
        <x:f>IF('초등학교+병설유치원(8월)'!A10="","",'초등학교+병설유치원(8월)'!A10)</x:f>
        <x:v>2</x:v>
      </x:c>
      <x:c r="B144" s="291" t="str">
        <x:v>초등학교</x:v>
      </x:c>
      <x:c r="C144" s="291" t="str">
        <x:f>IF('초등학교+병설유치원(8월)'!B10="","",'초등학교+병설유치원(8월)'!B10)</x:f>
        <x:v>이리계문초</x:v>
      </x:c>
      <x:c r="D144" s="293" t="n">
        <x:v>46240</x:v>
      </x:c>
      <x:c r="E144" s="294" t="n">
        <x:f>IF('초등학교+병설유치원(8월)'!AI10="",0,'초등학교+병설유치원(8월)'!AI10)</x:f>
        <x:v>12</x:v>
      </x:c>
      <x:c r="F144" s="294" t="n">
        <x:f>IF('초등학교+병설유치원(8월)'!AJ10="",0,'초등학교+병설유치원(8월)'!AJ10)</x:f>
        <x:v>0</x:v>
      </x:c>
      <x:c r="G144" s="294" t="n">
        <x:f>IF('초등학교+병설유치원(8월)'!AK10="",0,'초등학교+병설유치원(8월)'!AK10)</x:f>
        <x:v>0</x:v>
      </x:c>
      <x:c r="H144" s="294" t="n">
        <x:f>IF('초등학교+병설유치원(8월)'!AL10="",0,'초등학교+병설유치원(8월)'!AL10)</x:f>
        <x:v>0</x:v>
      </x:c>
      <x:c r="I144" s="294" t="n">
        <x:f>IF('초등학교+병설유치원(8월)'!AM10="",0,'초등학교+병설유치원(8월)'!AM10)</x:f>
        <x:v>0</x:v>
      </x:c>
      <x:c r="J144" s="296" t="n">
        <x:f>SUM(E144:I144)</x:f>
        <x:v>12</x:v>
      </x:c>
      <x:c r="K144" s="291" t="str">
        <x:v>8월</x:v>
      </x:c>
    </x:row>
    <x:row r="145">
      <x:c r="A145" s="291" t="n">
        <x:f>IF('초등학교+병설유치원(8월)'!A10="","",'초등학교+병설유치원(8월)'!A10)</x:f>
        <x:v>2</x:v>
      </x:c>
      <x:c r="B145" s="291" t="str">
        <x:v>초등학교</x:v>
      </x:c>
      <x:c r="C145" s="291" t="str">
        <x:f>IF('초등학교+병설유치원(8월)'!B10="","",'초등학교+병설유치원(8월)'!B10)</x:f>
        <x:v>이리계문초</x:v>
      </x:c>
      <x:c r="D145" s="293" t="n">
        <x:v>46241</x:v>
      </x:c>
      <x:c r="E145" s="294" t="n">
        <x:f>IF('초등학교+병설유치원(8월)'!AO10="",0,'초등학교+병설유치원(8월)'!AO10)</x:f>
        <x:v>12</x:v>
      </x:c>
      <x:c r="F145" s="294" t="n">
        <x:f>IF('초등학교+병설유치원(8월)'!AP10="",0,'초등학교+병설유치원(8월)'!AP10)</x:f>
        <x:v>0</x:v>
      </x:c>
      <x:c r="G145" s="294" t="n">
        <x:f>IF('초등학교+병설유치원(8월)'!AQ10="",0,'초등학교+병설유치원(8월)'!AQ10)</x:f>
        <x:v>0</x:v>
      </x:c>
      <x:c r="H145" s="294" t="n">
        <x:f>IF('초등학교+병설유치원(8월)'!AR10="",0,'초등학교+병설유치원(8월)'!AR10)</x:f>
        <x:v>0</x:v>
      </x:c>
      <x:c r="I145" s="294" t="n">
        <x:f>IF('초등학교+병설유치원(8월)'!AS10="",0,'초등학교+병설유치원(8월)'!AS10)</x:f>
        <x:v>0</x:v>
      </x:c>
      <x:c r="J145" s="296" t="n">
        <x:f>SUM(E145:I145)</x:f>
        <x:v>12</x:v>
      </x:c>
      <x:c r="K145" s="291" t="str">
        <x:v>8월</x:v>
      </x:c>
    </x:row>
    <x:row r="146">
      <x:c r="A146" s="291" t="n">
        <x:f>IF('초등학교+병설유치원(8월)'!A11="","",'초등학교+병설유치원(8월)'!A11)</x:f>
        <x:v>3</x:v>
      </x:c>
      <x:c r="B146" s="291" t="str">
        <x:v>초등학교</x:v>
      </x:c>
      <x:c r="C146" s="291" t="str">
        <x:f>IF('초등학교+병설유치원(8월)'!B11="","",'초등학교+병설유치원(8월)'!B11)</x:f>
        <x:v>이리고현초</x:v>
      </x:c>
      <x:c r="D146" s="293" t="n">
        <x:v>46237</x:v>
      </x:c>
      <x:c r="E146" s="294" t="n">
        <x:f>IF('초등학교+병설유치원(8월)'!Q11="",0,'초등학교+병설유치원(8월)'!Q11)</x:f>
        <x:v>14</x:v>
      </x:c>
      <x:c r="F146" s="294" t="n">
        <x:f>IF('초등학교+병설유치원(8월)'!R11="",0,'초등학교+병설유치원(8월)'!R11)</x:f>
        <x:v>13</x:v>
      </x:c>
      <x:c r="G146" s="294" t="n">
        <x:f>IF('초등학교+병설유치원(8월)'!S11="",0,'초등학교+병설유치원(8월)'!S11)</x:f>
        <x:v>0</x:v>
      </x:c>
      <x:c r="H146" s="294" t="n">
        <x:f>IF('초등학교+병설유치원(8월)'!T11="",0,'초등학교+병설유치원(8월)'!T11)</x:f>
        <x:v>0</x:v>
      </x:c>
      <x:c r="I146" s="294" t="n">
        <x:f>IF('초등학교+병설유치원(8월)'!U11="",0,'초등학교+병설유치원(8월)'!U11)</x:f>
        <x:v>0</x:v>
      </x:c>
      <x:c r="J146" s="296" t="n">
        <x:f>SUM(E146:I146)</x:f>
        <x:v>27</x:v>
      </x:c>
      <x:c r="K146" s="291" t="str">
        <x:v>8월</x:v>
      </x:c>
    </x:row>
    <x:row r="147">
      <x:c r="A147" s="291" t="n">
        <x:f>IF('초등학교+병설유치원(8월)'!A11="","",'초등학교+병설유치원(8월)'!A11)</x:f>
        <x:v>3</x:v>
      </x:c>
      <x:c r="B147" s="291" t="str">
        <x:v>초등학교</x:v>
      </x:c>
      <x:c r="C147" s="291" t="str">
        <x:f>IF('초등학교+병설유치원(8월)'!B11="","",'초등학교+병설유치원(8월)'!B11)</x:f>
        <x:v>이리고현초</x:v>
      </x:c>
      <x:c r="D147" s="293" t="n">
        <x:v>46238</x:v>
      </x:c>
      <x:c r="E147" s="294" t="n">
        <x:f>IF('초등학교+병설유치원(8월)'!W11="",0,'초등학교+병설유치원(8월)'!W11)</x:f>
        <x:v>14</x:v>
      </x:c>
      <x:c r="F147" s="294" t="n">
        <x:f>IF('초등학교+병설유치원(8월)'!X11="",0,'초등학교+병설유치원(8월)'!X11)</x:f>
        <x:v>13</x:v>
      </x:c>
      <x:c r="G147" s="294" t="n">
        <x:f>IF('초등학교+병설유치원(8월)'!Y11="",0,'초등학교+병설유치원(8월)'!Y11)</x:f>
        <x:v>0</x:v>
      </x:c>
      <x:c r="H147" s="294" t="n">
        <x:f>IF('초등학교+병설유치원(8월)'!Z11="",0,'초등학교+병설유치원(8월)'!Z11)</x:f>
        <x:v>0</x:v>
      </x:c>
      <x:c r="I147" s="294" t="n">
        <x:f>IF('초등학교+병설유치원(8월)'!AA11="",0,'초등학교+병설유치원(8월)'!AA11)</x:f>
        <x:v>0</x:v>
      </x:c>
      <x:c r="J147" s="296" t="n">
        <x:f>SUM(E147:I147)</x:f>
        <x:v>27</x:v>
      </x:c>
      <x:c r="K147" s="291" t="str">
        <x:v>8월</x:v>
      </x:c>
    </x:row>
    <x:row r="148">
      <x:c r="A148" s="291" t="n">
        <x:f>IF('초등학교+병설유치원(8월)'!A11="","",'초등학교+병설유치원(8월)'!A11)</x:f>
        <x:v>3</x:v>
      </x:c>
      <x:c r="B148" s="291" t="str">
        <x:v>초등학교</x:v>
      </x:c>
      <x:c r="C148" s="291" t="str">
        <x:f>IF('초등학교+병설유치원(8월)'!B11="","",'초등학교+병설유치원(8월)'!B11)</x:f>
        <x:v>이리고현초</x:v>
      </x:c>
      <x:c r="D148" s="293" t="n">
        <x:v>46239</x:v>
      </x:c>
      <x:c r="E148" s="294" t="n">
        <x:f>IF('초등학교+병설유치원(8월)'!AC11="",0,'초등학교+병설유치원(8월)'!AC11)</x:f>
        <x:v>14</x:v>
      </x:c>
      <x:c r="F148" s="294" t="n">
        <x:f>IF('초등학교+병설유치원(8월)'!AD11="",0,'초등학교+병설유치원(8월)'!AD11)</x:f>
        <x:v>13</x:v>
      </x:c>
      <x:c r="G148" s="294" t="n">
        <x:f>IF('초등학교+병설유치원(8월)'!AE11="",0,'초등학교+병설유치원(8월)'!AE11)</x:f>
        <x:v>0</x:v>
      </x:c>
      <x:c r="H148" s="294" t="n">
        <x:f>IF('초등학교+병설유치원(8월)'!AF11="",0,'초등학교+병설유치원(8월)'!AF11)</x:f>
        <x:v>0</x:v>
      </x:c>
      <x:c r="I148" s="294" t="n">
        <x:f>IF('초등학교+병설유치원(8월)'!AG11="",0,'초등학교+병설유치원(8월)'!AG11)</x:f>
        <x:v>0</x:v>
      </x:c>
      <x:c r="J148" s="296" t="n">
        <x:f>SUM(E148:I148)</x:f>
        <x:v>27</x:v>
      </x:c>
      <x:c r="K148" s="291" t="str">
        <x:v>8월</x:v>
      </x:c>
    </x:row>
    <x:row r="149">
      <x:c r="A149" s="291" t="n">
        <x:f>IF('초등학교+병설유치원(8월)'!A11="","",'초등학교+병설유치원(8월)'!A11)</x:f>
        <x:v>3</x:v>
      </x:c>
      <x:c r="B149" s="291" t="str">
        <x:v>초등학교</x:v>
      </x:c>
      <x:c r="C149" s="291" t="str">
        <x:f>IF('초등학교+병설유치원(8월)'!B11="","",'초등학교+병설유치원(8월)'!B11)</x:f>
        <x:v>이리고현초</x:v>
      </x:c>
      <x:c r="D149" s="293" t="n">
        <x:v>46240</x:v>
      </x:c>
      <x:c r="E149" s="294" t="n">
        <x:f>IF('초등학교+병설유치원(8월)'!AI11="",0,'초등학교+병설유치원(8월)'!AI11)</x:f>
        <x:v>14</x:v>
      </x:c>
      <x:c r="F149" s="294" t="n">
        <x:f>IF('초등학교+병설유치원(8월)'!AJ11="",0,'초등학교+병설유치원(8월)'!AJ11)</x:f>
        <x:v>13</x:v>
      </x:c>
      <x:c r="G149" s="294" t="n">
        <x:f>IF('초등학교+병설유치원(8월)'!AK11="",0,'초등학교+병설유치원(8월)'!AK11)</x:f>
        <x:v>0</x:v>
      </x:c>
      <x:c r="H149" s="294" t="n">
        <x:f>IF('초등학교+병설유치원(8월)'!AL11="",0,'초등학교+병설유치원(8월)'!AL11)</x:f>
        <x:v>0</x:v>
      </x:c>
      <x:c r="I149" s="294" t="n">
        <x:f>IF('초등학교+병설유치원(8월)'!AM11="",0,'초등학교+병설유치원(8월)'!AM11)</x:f>
        <x:v>0</x:v>
      </x:c>
      <x:c r="J149" s="296" t="n">
        <x:f>SUM(E149:I149)</x:f>
        <x:v>27</x:v>
      </x:c>
      <x:c r="K149" s="291" t="str">
        <x:v>8월</x:v>
      </x:c>
    </x:row>
    <x:row r="150">
      <x:c r="A150" s="291" t="n">
        <x:f>IF('초등학교+병설유치원(8월)'!A11="","",'초등학교+병설유치원(8월)'!A11)</x:f>
        <x:v>3</x:v>
      </x:c>
      <x:c r="B150" s="291" t="str">
        <x:v>초등학교</x:v>
      </x:c>
      <x:c r="C150" s="291" t="str">
        <x:f>IF('초등학교+병설유치원(8월)'!B11="","",'초등학교+병설유치원(8월)'!B11)</x:f>
        <x:v>이리고현초</x:v>
      </x:c>
      <x:c r="D150" s="293" t="n">
        <x:v>46241</x:v>
      </x:c>
      <x:c r="E150" s="294" t="n">
        <x:f>IF('초등학교+병설유치원(8월)'!AO11="",0,'초등학교+병설유치원(8월)'!AO11)</x:f>
        <x:v>14</x:v>
      </x:c>
      <x:c r="F150" s="294" t="n">
        <x:f>IF('초등학교+병설유치원(8월)'!AP11="",0,'초등학교+병설유치원(8월)'!AP11)</x:f>
        <x:v>13</x:v>
      </x:c>
      <x:c r="G150" s="294" t="n">
        <x:f>IF('초등학교+병설유치원(8월)'!AQ11="",0,'초등학교+병설유치원(8월)'!AQ11)</x:f>
        <x:v>0</x:v>
      </x:c>
      <x:c r="H150" s="294" t="n">
        <x:f>IF('초등학교+병설유치원(8월)'!AR11="",0,'초등학교+병설유치원(8월)'!AR11)</x:f>
        <x:v>0</x:v>
      </x:c>
      <x:c r="I150" s="294" t="n">
        <x:f>IF('초등학교+병설유치원(8월)'!AS11="",0,'초등학교+병설유치원(8월)'!AS11)</x:f>
        <x:v>0</x:v>
      </x:c>
      <x:c r="J150" s="296" t="n">
        <x:f>SUM(E150:I150)</x:f>
        <x:v>27</x:v>
      </x:c>
      <x:c r="K150" s="291" t="str">
        <x:v>8월</x:v>
      </x:c>
    </x:row>
    <x:row r="151">
      <x:c r="A151" s="291" t="n">
        <x:f>IF('초등학교+병설유치원(8월)'!A11="","",'초등학교+병설유치원(8월)'!A11)</x:f>
        <x:v>3</x:v>
      </x:c>
      <x:c r="B151" s="291" t="str">
        <x:v>초등학교</x:v>
      </x:c>
      <x:c r="C151" s="291" t="str">
        <x:f>IF('초등학교+병설유치원(8월)'!B11="","",'초등학교+병설유치원(8월)'!B11)</x:f>
        <x:v>이리고현초</x:v>
      </x:c>
      <x:c r="D151" s="293" t="n">
        <x:v>46244</x:v>
      </x:c>
      <x:c r="E151" s="294" t="n">
        <x:f>IF('초등학교+병설유치원(8월)'!AU11="",0,'초등학교+병설유치원(8월)'!AU11)</x:f>
        <x:v>14</x:v>
      </x:c>
      <x:c r="F151" s="294" t="n">
        <x:f>IF('초등학교+병설유치원(8월)'!AV11="",0,'초등학교+병설유치원(8월)'!AV11)</x:f>
        <x:v>13</x:v>
      </x:c>
      <x:c r="G151" s="294" t="n">
        <x:f>IF('초등학교+병설유치원(8월)'!AW11="",0,'초등학교+병설유치원(8월)'!AW11)</x:f>
        <x:v>0</x:v>
      </x:c>
      <x:c r="H151" s="294" t="n">
        <x:f>IF('초등학교+병설유치원(8월)'!AX11="",0,'초등학교+병설유치원(8월)'!AX11)</x:f>
        <x:v>0</x:v>
      </x:c>
      <x:c r="I151" s="294" t="n">
        <x:f>IF('초등학교+병설유치원(8월)'!AY11="",0,'초등학교+병설유치원(8월)'!AY11)</x:f>
        <x:v>0</x:v>
      </x:c>
      <x:c r="J151" s="296" t="n">
        <x:f>SUM(E151:I151)</x:f>
        <x:v>27</x:v>
      </x:c>
      <x:c r="K151" s="291" t="str">
        <x:v>8월</x:v>
      </x:c>
    </x:row>
    <x:row r="152">
      <x:c r="A152" s="291" t="n">
        <x:f>IF('초등학교+병설유치원(8월)'!A11="","",'초등학교+병설유치원(8월)'!A11)</x:f>
        <x:v>3</x:v>
      </x:c>
      <x:c r="B152" s="291" t="str">
        <x:v>초등학교</x:v>
      </x:c>
      <x:c r="C152" s="291" t="str">
        <x:f>IF('초등학교+병설유치원(8월)'!B11="","",'초등학교+병설유치원(8월)'!B11)</x:f>
        <x:v>이리고현초</x:v>
      </x:c>
      <x:c r="D152" s="293" t="n">
        <x:v>46245</x:v>
      </x:c>
      <x:c r="E152" s="294" t="n">
        <x:f>IF('초등학교+병설유치원(8월)'!BA11="",0,'초등학교+병설유치원(8월)'!BA11)</x:f>
        <x:v>14</x:v>
      </x:c>
      <x:c r="F152" s="294" t="n">
        <x:f>IF('초등학교+병설유치원(8월)'!BB11="",0,'초등학교+병설유치원(8월)'!BB11)</x:f>
        <x:v>13</x:v>
      </x:c>
      <x:c r="G152" s="294" t="n">
        <x:f>IF('초등학교+병설유치원(8월)'!BC11="",0,'초등학교+병설유치원(8월)'!BC11)</x:f>
        <x:v>0</x:v>
      </x:c>
      <x:c r="H152" s="294" t="n">
        <x:f>IF('초등학교+병설유치원(8월)'!BD11="",0,'초등학교+병설유치원(8월)'!BD11)</x:f>
        <x:v>0</x:v>
      </x:c>
      <x:c r="I152" s="294" t="n">
        <x:f>IF('초등학교+병설유치원(8월)'!BE11="",0,'초등학교+병설유치원(8월)'!BE11)</x:f>
        <x:v>0</x:v>
      </x:c>
      <x:c r="J152" s="296" t="n">
        <x:f>SUM(E152:I152)</x:f>
        <x:v>27</x:v>
      </x:c>
      <x:c r="K152" s="291" t="str">
        <x:v>8월</x:v>
      </x:c>
    </x:row>
    <x:row r="153">
      <x:c r="A153" s="291" t="n">
        <x:f>IF('초등학교+병설유치원(8월)'!A11="","",'초등학교+병설유치원(8월)'!A11)</x:f>
        <x:v>3</x:v>
      </x:c>
      <x:c r="B153" s="291" t="str">
        <x:v>초등학교</x:v>
      </x:c>
      <x:c r="C153" s="291" t="str">
        <x:f>IF('초등학교+병설유치원(8월)'!B11="","",'초등학교+병설유치원(8월)'!B11)</x:f>
        <x:v>이리고현초</x:v>
      </x:c>
      <x:c r="D153" s="293" t="n">
        <x:v>46246</x:v>
      </x:c>
      <x:c r="E153" s="294" t="n">
        <x:f>IF('초등학교+병설유치원(8월)'!BG11="",0,'초등학교+병설유치원(8월)'!BG11)</x:f>
        <x:v>14</x:v>
      </x:c>
      <x:c r="F153" s="294" t="n">
        <x:f>IF('초등학교+병설유치원(8월)'!BH11="",0,'초등학교+병설유치원(8월)'!BH11)</x:f>
        <x:v>13</x:v>
      </x:c>
      <x:c r="G153" s="294" t="n">
        <x:f>IF('초등학교+병설유치원(8월)'!BI11="",0,'초등학교+병설유치원(8월)'!BI11)</x:f>
        <x:v>0</x:v>
      </x:c>
      <x:c r="H153" s="294" t="n">
        <x:f>IF('초등학교+병설유치원(8월)'!BJ11="",0,'초등학교+병설유치원(8월)'!BJ11)</x:f>
        <x:v>0</x:v>
      </x:c>
      <x:c r="I153" s="294" t="n">
        <x:f>IF('초등학교+병설유치원(8월)'!BK11="",0,'초등학교+병설유치원(8월)'!BK11)</x:f>
        <x:v>0</x:v>
      </x:c>
      <x:c r="J153" s="296" t="n">
        <x:f>SUM(E153:I153)</x:f>
        <x:v>27</x:v>
      </x:c>
      <x:c r="K153" s="291" t="str">
        <x:v>8월</x:v>
      </x:c>
    </x:row>
    <x:row r="154">
      <x:c r="A154" s="291" t="n">
        <x:f>IF('초등학교+병설유치원(8월)'!A11="","",'초등학교+병설유치원(8월)'!A11)</x:f>
        <x:v>3</x:v>
      </x:c>
      <x:c r="B154" s="291" t="str">
        <x:v>초등학교</x:v>
      </x:c>
      <x:c r="C154" s="291" t="str">
        <x:f>IF('초등학교+병설유치원(8월)'!B11="","",'초등학교+병설유치원(8월)'!B11)</x:f>
        <x:v>이리고현초</x:v>
      </x:c>
      <x:c r="D154" s="293" t="n">
        <x:v>46247</x:v>
      </x:c>
      <x:c r="E154" s="294" t="n">
        <x:f>IF('초등학교+병설유치원(8월)'!BM11="",0,'초등학교+병설유치원(8월)'!BM11)</x:f>
        <x:v>14</x:v>
      </x:c>
      <x:c r="F154" s="294" t="n">
        <x:f>IF('초등학교+병설유치원(8월)'!BN11="",0,'초등학교+병설유치원(8월)'!BN11)</x:f>
        <x:v>13</x:v>
      </x:c>
      <x:c r="G154" s="294" t="n">
        <x:f>IF('초등학교+병설유치원(8월)'!BO11="",0,'초등학교+병설유치원(8월)'!BO11)</x:f>
        <x:v>0</x:v>
      </x:c>
      <x:c r="H154" s="294" t="n">
        <x:f>IF('초등학교+병설유치원(8월)'!BP11="",0,'초등학교+병설유치원(8월)'!BP11)</x:f>
        <x:v>0</x:v>
      </x:c>
      <x:c r="I154" s="294" t="n">
        <x:f>IF('초등학교+병설유치원(8월)'!BQ11="",0,'초등학교+병설유치원(8월)'!BQ11)</x:f>
        <x:v>0</x:v>
      </x:c>
      <x:c r="J154" s="296" t="n">
        <x:f>SUM(E154:I154)</x:f>
        <x:v>27</x:v>
      </x:c>
      <x:c r="K154" s="291" t="str">
        <x:v>8월</x:v>
      </x:c>
    </x:row>
    <x:row r="155">
      <x:c r="A155" s="291" t="n">
        <x:f>IF('초등학교+병설유치원(8월)'!A11="","",'초등학교+병설유치원(8월)'!A11)</x:f>
        <x:v>3</x:v>
      </x:c>
      <x:c r="B155" s="291" t="str">
        <x:v>초등학교</x:v>
      </x:c>
      <x:c r="C155" s="291" t="str">
        <x:f>IF('초등학교+병설유치원(8월)'!B11="","",'초등학교+병설유치원(8월)'!B11)</x:f>
        <x:v>이리고현초</x:v>
      </x:c>
      <x:c r="D155" s="293" t="n">
        <x:v>46248</x:v>
      </x:c>
      <x:c r="E155" s="294" t="n">
        <x:f>IF('초등학교+병설유치원(8월)'!BS11="",0,'초등학교+병설유치원(8월)'!BS11)</x:f>
        <x:v>14</x:v>
      </x:c>
      <x:c r="F155" s="294" t="n">
        <x:f>IF('초등학교+병설유치원(8월)'!BT11="",0,'초등학교+병설유치원(8월)'!BT11)</x:f>
        <x:v>13</x:v>
      </x:c>
      <x:c r="G155" s="294" t="n">
        <x:f>IF('초등학교+병설유치원(8월)'!BU11="",0,'초등학교+병설유치원(8월)'!BU11)</x:f>
        <x:v>0</x:v>
      </x:c>
      <x:c r="H155" s="294" t="n">
        <x:f>IF('초등학교+병설유치원(8월)'!BV11="",0,'초등학교+병설유치원(8월)'!BV11)</x:f>
        <x:v>0</x:v>
      </x:c>
      <x:c r="I155" s="294" t="n">
        <x:f>IF('초등학교+병설유치원(8월)'!BW11="",0,'초등학교+병설유치원(8월)'!BW11)</x:f>
        <x:v>0</x:v>
      </x:c>
      <x:c r="J155" s="296" t="n">
        <x:f>SUM(E155:I155)</x:f>
        <x:v>27</x:v>
      </x:c>
      <x:c r="K155" s="291" t="str">
        <x:v>8월</x:v>
      </x:c>
    </x:row>
    <x:row r="156">
      <x:c r="A156" s="291" t="n">
        <x:f>IF('초등학교+병설유치원(8월)'!A12="","",'초등학교+병설유치원(8월)'!A12)</x:f>
        <x:v>4</x:v>
      </x:c>
      <x:c r="B156" s="291" t="str">
        <x:v>초등학교</x:v>
      </x:c>
      <x:c r="C156" s="291" t="str">
        <x:f>IF('초등학교+병설유치원(8월)'!B12="","",'초등학교+병설유치원(8월)'!B12)</x:f>
        <x:v>이리남창초</x:v>
      </x:c>
      <x:c r="D156" s="293" t="n">
        <x:v>46237</x:v>
      </x:c>
      <x:c r="E156" s="294" t="n">
        <x:f>IF('초등학교+병설유치원(8월)'!Q12="",0,'초등학교+병설유치원(8월)'!Q12)</x:f>
        <x:v>19</x:v>
      </x:c>
      <x:c r="F156" s="294" t="n">
        <x:f>IF('초등학교+병설유치원(8월)'!R12="",0,'초등학교+병설유치원(8월)'!R12)</x:f>
        <x:v>0</x:v>
      </x:c>
      <x:c r="G156" s="294" t="n">
        <x:f>IF('초등학교+병설유치원(8월)'!S12="",0,'초등학교+병설유치원(8월)'!S12)</x:f>
        <x:v>0</x:v>
      </x:c>
      <x:c r="H156" s="294" t="n">
        <x:f>IF('초등학교+병설유치원(8월)'!T12="",0,'초등학교+병설유치원(8월)'!T12)</x:f>
        <x:v>0</x:v>
      </x:c>
      <x:c r="I156" s="294" t="n">
        <x:f>IF('초등학교+병설유치원(8월)'!U12="",0,'초등학교+병설유치원(8월)'!U12)</x:f>
        <x:v>0</x:v>
      </x:c>
      <x:c r="J156" s="296" t="n">
        <x:f>SUM(E156:I156)</x:f>
        <x:v>19</x:v>
      </x:c>
      <x:c r="K156" s="291" t="str">
        <x:v>8월</x:v>
      </x:c>
    </x:row>
    <x:row r="157">
      <x:c r="A157" s="291" t="n">
        <x:f>IF('초등학교+병설유치원(8월)'!A12="","",'초등학교+병설유치원(8월)'!A12)</x:f>
        <x:v>4</x:v>
      </x:c>
      <x:c r="B157" s="291" t="str">
        <x:v>초등학교</x:v>
      </x:c>
      <x:c r="C157" s="291" t="str">
        <x:f>IF('초등학교+병설유치원(8월)'!B12="","",'초등학교+병설유치원(8월)'!B12)</x:f>
        <x:v>이리남창초</x:v>
      </x:c>
      <x:c r="D157" s="293" t="n">
        <x:v>46238</x:v>
      </x:c>
      <x:c r="E157" s="294" t="n">
        <x:f>IF('초등학교+병설유치원(8월)'!W12="",0,'초등학교+병설유치원(8월)'!W12)</x:f>
        <x:v>19</x:v>
      </x:c>
      <x:c r="F157" s="294" t="n">
        <x:f>IF('초등학교+병설유치원(8월)'!X12="",0,'초등학교+병설유치원(8월)'!X12)</x:f>
        <x:v>0</x:v>
      </x:c>
      <x:c r="G157" s="294" t="n">
        <x:f>IF('초등학교+병설유치원(8월)'!Y12="",0,'초등학교+병설유치원(8월)'!Y12)</x:f>
        <x:v>0</x:v>
      </x:c>
      <x:c r="H157" s="294" t="n">
        <x:f>IF('초등학교+병설유치원(8월)'!Z12="",0,'초등학교+병설유치원(8월)'!Z12)</x:f>
        <x:v>0</x:v>
      </x:c>
      <x:c r="I157" s="294" t="n">
        <x:f>IF('초등학교+병설유치원(8월)'!AA12="",0,'초등학교+병설유치원(8월)'!AA12)</x:f>
        <x:v>0</x:v>
      </x:c>
      <x:c r="J157" s="296" t="n">
        <x:f>SUM(E157:I157)</x:f>
        <x:v>19</x:v>
      </x:c>
      <x:c r="K157" s="291" t="str">
        <x:v>8월</x:v>
      </x:c>
    </x:row>
    <x:row r="158">
      <x:c r="A158" s="291" t="n">
        <x:f>IF('초등학교+병설유치원(8월)'!A12="","",'초등학교+병설유치원(8월)'!A12)</x:f>
        <x:v>4</x:v>
      </x:c>
      <x:c r="B158" s="291" t="str">
        <x:v>초등학교</x:v>
      </x:c>
      <x:c r="C158" s="291" t="str">
        <x:f>IF('초등학교+병설유치원(8월)'!B12="","",'초등학교+병설유치원(8월)'!B12)</x:f>
        <x:v>이리남창초</x:v>
      </x:c>
      <x:c r="D158" s="293" t="n">
        <x:v>46239</x:v>
      </x:c>
      <x:c r="E158" s="294" t="n">
        <x:f>IF('초등학교+병설유치원(8월)'!AC12="",0,'초등학교+병설유치원(8월)'!AC12)</x:f>
        <x:v>19</x:v>
      </x:c>
      <x:c r="F158" s="294" t="n">
        <x:f>IF('초등학교+병설유치원(8월)'!AD12="",0,'초등학교+병설유치원(8월)'!AD12)</x:f>
        <x:v>0</x:v>
      </x:c>
      <x:c r="G158" s="294" t="n">
        <x:f>IF('초등학교+병설유치원(8월)'!AE12="",0,'초등학교+병설유치원(8월)'!AE12)</x:f>
        <x:v>0</x:v>
      </x:c>
      <x:c r="H158" s="294" t="n">
        <x:f>IF('초등학교+병설유치원(8월)'!AF12="",0,'초등학교+병설유치원(8월)'!AF12)</x:f>
        <x:v>0</x:v>
      </x:c>
      <x:c r="I158" s="294" t="n">
        <x:f>IF('초등학교+병설유치원(8월)'!AG12="",0,'초등학교+병설유치원(8월)'!AG12)</x:f>
        <x:v>0</x:v>
      </x:c>
      <x:c r="J158" s="296" t="n">
        <x:f>SUM(E158:I158)</x:f>
        <x:v>19</x:v>
      </x:c>
      <x:c r="K158" s="291" t="str">
        <x:v>8월</x:v>
      </x:c>
    </x:row>
    <x:row r="159">
      <x:c r="A159" s="291" t="n">
        <x:f>IF('초등학교+병설유치원(8월)'!A12="","",'초등학교+병설유치원(8월)'!A12)</x:f>
        <x:v>4</x:v>
      </x:c>
      <x:c r="B159" s="291" t="str">
        <x:v>초등학교</x:v>
      </x:c>
      <x:c r="C159" s="291" t="str">
        <x:f>IF('초등학교+병설유치원(8월)'!B12="","",'초등학교+병설유치원(8월)'!B12)</x:f>
        <x:v>이리남창초</x:v>
      </x:c>
      <x:c r="D159" s="293" t="n">
        <x:v>46240</x:v>
      </x:c>
      <x:c r="E159" s="294" t="n">
        <x:f>IF('초등학교+병설유치원(8월)'!AI12="",0,'초등학교+병설유치원(8월)'!AI12)</x:f>
        <x:v>19</x:v>
      </x:c>
      <x:c r="F159" s="294" t="n">
        <x:f>IF('초등학교+병설유치원(8월)'!AJ12="",0,'초등학교+병설유치원(8월)'!AJ12)</x:f>
        <x:v>0</x:v>
      </x:c>
      <x:c r="G159" s="294" t="n">
        <x:f>IF('초등학교+병설유치원(8월)'!AK12="",0,'초등학교+병설유치원(8월)'!AK12)</x:f>
        <x:v>0</x:v>
      </x:c>
      <x:c r="H159" s="294" t="n">
        <x:f>IF('초등학교+병설유치원(8월)'!AL12="",0,'초등학교+병설유치원(8월)'!AL12)</x:f>
        <x:v>0</x:v>
      </x:c>
      <x:c r="I159" s="294" t="n">
        <x:f>IF('초등학교+병설유치원(8월)'!AM12="",0,'초등학교+병설유치원(8월)'!AM12)</x:f>
        <x:v>0</x:v>
      </x:c>
      <x:c r="J159" s="296" t="n">
        <x:f>SUM(E159:I159)</x:f>
        <x:v>19</x:v>
      </x:c>
      <x:c r="K159" s="291" t="str">
        <x:v>8월</x:v>
      </x:c>
    </x:row>
    <x:row r="160">
      <x:c r="A160" s="291" t="n">
        <x:f>IF('초등학교+병설유치원(8월)'!A12="","",'초등학교+병설유치원(8월)'!A12)</x:f>
        <x:v>4</x:v>
      </x:c>
      <x:c r="B160" s="291" t="str">
        <x:v>초등학교</x:v>
      </x:c>
      <x:c r="C160" s="291" t="str">
        <x:f>IF('초등학교+병설유치원(8월)'!B12="","",'초등학교+병설유치원(8월)'!B12)</x:f>
        <x:v>이리남창초</x:v>
      </x:c>
      <x:c r="D160" s="293" t="n">
        <x:v>46241</x:v>
      </x:c>
      <x:c r="E160" s="294" t="n">
        <x:f>IF('초등학교+병설유치원(8월)'!AO12="",0,'초등학교+병설유치원(8월)'!AO12)</x:f>
        <x:v>19</x:v>
      </x:c>
      <x:c r="F160" s="294" t="n">
        <x:f>IF('초등학교+병설유치원(8월)'!AP12="",0,'초등학교+병설유치원(8월)'!AP12)</x:f>
        <x:v>0</x:v>
      </x:c>
      <x:c r="G160" s="294" t="n">
        <x:f>IF('초등학교+병설유치원(8월)'!AQ12="",0,'초등학교+병설유치원(8월)'!AQ12)</x:f>
        <x:v>0</x:v>
      </x:c>
      <x:c r="H160" s="294" t="n">
        <x:f>IF('초등학교+병설유치원(8월)'!AR12="",0,'초등학교+병설유치원(8월)'!AR12)</x:f>
        <x:v>0</x:v>
      </x:c>
      <x:c r="I160" s="294" t="n">
        <x:f>IF('초등학교+병설유치원(8월)'!AS12="",0,'초등학교+병설유치원(8월)'!AS12)</x:f>
        <x:v>0</x:v>
      </x:c>
      <x:c r="J160" s="296" t="n">
        <x:f>SUM(E160:I160)</x:f>
        <x:v>19</x:v>
      </x:c>
      <x:c r="K160" s="291" t="str">
        <x:v>8월</x:v>
      </x:c>
    </x:row>
    <x:row r="161">
      <x:c r="A161" s="291" t="n">
        <x:f>IF('초등학교+병설유치원(8월)'!A12="","",'초등학교+병설유치원(8월)'!A12)</x:f>
        <x:v>4</x:v>
      </x:c>
      <x:c r="B161" s="291" t="str">
        <x:v>초등학교</x:v>
      </x:c>
      <x:c r="C161" s="291" t="str">
        <x:f>IF('초등학교+병설유치원(8월)'!B12="","",'초등학교+병설유치원(8월)'!B12)</x:f>
        <x:v>이리남창초</x:v>
      </x:c>
      <x:c r="D161" s="293" t="n">
        <x:v>46244</x:v>
      </x:c>
      <x:c r="E161" s="294" t="n">
        <x:f>IF('초등학교+병설유치원(8월)'!AU12="",0,'초등학교+병설유치원(8월)'!AU12)</x:f>
        <x:v>19</x:v>
      </x:c>
      <x:c r="F161" s="294" t="n">
        <x:f>IF('초등학교+병설유치원(8월)'!AV12="",0,'초등학교+병설유치원(8월)'!AV12)</x:f>
        <x:v>0</x:v>
      </x:c>
      <x:c r="G161" s="294" t="n">
        <x:f>IF('초등학교+병설유치원(8월)'!AW12="",0,'초등학교+병설유치원(8월)'!AW12)</x:f>
        <x:v>0</x:v>
      </x:c>
      <x:c r="H161" s="294" t="n">
        <x:f>IF('초등학교+병설유치원(8월)'!AX12="",0,'초등학교+병설유치원(8월)'!AX12)</x:f>
        <x:v>0</x:v>
      </x:c>
      <x:c r="I161" s="294" t="n">
        <x:f>IF('초등학교+병설유치원(8월)'!AY12="",0,'초등학교+병설유치원(8월)'!AY12)</x:f>
        <x:v>0</x:v>
      </x:c>
      <x:c r="J161" s="296" t="n">
        <x:f>SUM(E161:I161)</x:f>
        <x:v>19</x:v>
      </x:c>
      <x:c r="K161" s="291" t="str">
        <x:v>8월</x:v>
      </x:c>
    </x:row>
    <x:row r="162">
      <x:c r="A162" s="291" t="n">
        <x:f>IF('초등학교+병설유치원(8월)'!A12="","",'초등학교+병설유치원(8월)'!A12)</x:f>
        <x:v>4</x:v>
      </x:c>
      <x:c r="B162" s="291" t="str">
        <x:v>초등학교</x:v>
      </x:c>
      <x:c r="C162" s="291" t="str">
        <x:f>IF('초등학교+병설유치원(8월)'!B12="","",'초등학교+병설유치원(8월)'!B12)</x:f>
        <x:v>이리남창초</x:v>
      </x:c>
      <x:c r="D162" s="293" t="n">
        <x:v>46245</x:v>
      </x:c>
      <x:c r="E162" s="294" t="n">
        <x:f>IF('초등학교+병설유치원(8월)'!BA12="",0,'초등학교+병설유치원(8월)'!BA12)</x:f>
        <x:v>19</x:v>
      </x:c>
      <x:c r="F162" s="294" t="n">
        <x:f>IF('초등학교+병설유치원(8월)'!BB12="",0,'초등학교+병설유치원(8월)'!BB12)</x:f>
        <x:v>0</x:v>
      </x:c>
      <x:c r="G162" s="294" t="n">
        <x:f>IF('초등학교+병설유치원(8월)'!BC12="",0,'초등학교+병설유치원(8월)'!BC12)</x:f>
        <x:v>0</x:v>
      </x:c>
      <x:c r="H162" s="294" t="n">
        <x:f>IF('초등학교+병설유치원(8월)'!BD12="",0,'초등학교+병설유치원(8월)'!BD12)</x:f>
        <x:v>0</x:v>
      </x:c>
      <x:c r="I162" s="294" t="n">
        <x:f>IF('초등학교+병설유치원(8월)'!BE12="",0,'초등학교+병설유치원(8월)'!BE12)</x:f>
        <x:v>0</x:v>
      </x:c>
      <x:c r="J162" s="296" t="n">
        <x:f>SUM(E162:I162)</x:f>
        <x:v>19</x:v>
      </x:c>
      <x:c r="K162" s="291" t="str">
        <x:v>8월</x:v>
      </x:c>
    </x:row>
    <x:row r="163">
      <x:c r="A163" s="291" t="n">
        <x:f>IF('초등학교+병설유치원(8월)'!A12="","",'초등학교+병설유치원(8월)'!A12)</x:f>
        <x:v>4</x:v>
      </x:c>
      <x:c r="B163" s="291" t="str">
        <x:v>초등학교</x:v>
      </x:c>
      <x:c r="C163" s="291" t="str">
        <x:f>IF('초등학교+병설유치원(8월)'!B12="","",'초등학교+병설유치원(8월)'!B12)</x:f>
        <x:v>이리남창초</x:v>
      </x:c>
      <x:c r="D163" s="293" t="n">
        <x:v>46246</x:v>
      </x:c>
      <x:c r="E163" s="294" t="n">
        <x:f>IF('초등학교+병설유치원(8월)'!BG12="",0,'초등학교+병설유치원(8월)'!BG12)</x:f>
        <x:v>19</x:v>
      </x:c>
      <x:c r="F163" s="294" t="n">
        <x:f>IF('초등학교+병설유치원(8월)'!BH12="",0,'초등학교+병설유치원(8월)'!BH12)</x:f>
        <x:v>0</x:v>
      </x:c>
      <x:c r="G163" s="294" t="n">
        <x:f>IF('초등학교+병설유치원(8월)'!BI12="",0,'초등학교+병설유치원(8월)'!BI12)</x:f>
        <x:v>0</x:v>
      </x:c>
      <x:c r="H163" s="294" t="n">
        <x:f>IF('초등학교+병설유치원(8월)'!BJ12="",0,'초등학교+병설유치원(8월)'!BJ12)</x:f>
        <x:v>0</x:v>
      </x:c>
      <x:c r="I163" s="294" t="n">
        <x:f>IF('초등학교+병설유치원(8월)'!BK12="",0,'초등학교+병설유치원(8월)'!BK12)</x:f>
        <x:v>0</x:v>
      </x:c>
      <x:c r="J163" s="296" t="n">
        <x:f>SUM(E163:I163)</x:f>
        <x:v>19</x:v>
      </x:c>
      <x:c r="K163" s="291" t="str">
        <x:v>8월</x:v>
      </x:c>
    </x:row>
    <x:row r="164">
      <x:c r="A164" s="291" t="n">
        <x:f>IF('초등학교+병설유치원(8월)'!A12="","",'초등학교+병설유치원(8월)'!A12)</x:f>
        <x:v>4</x:v>
      </x:c>
      <x:c r="B164" s="291" t="str">
        <x:v>초등학교</x:v>
      </x:c>
      <x:c r="C164" s="291" t="str">
        <x:f>IF('초등학교+병설유치원(8월)'!B12="","",'초등학교+병설유치원(8월)'!B12)</x:f>
        <x:v>이리남창초</x:v>
      </x:c>
      <x:c r="D164" s="293" t="n">
        <x:v>46247</x:v>
      </x:c>
      <x:c r="E164" s="294" t="n">
        <x:f>IF('초등학교+병설유치원(8월)'!BM12="",0,'초등학교+병설유치원(8월)'!BM12)</x:f>
        <x:v>19</x:v>
      </x:c>
      <x:c r="F164" s="294" t="n">
        <x:f>IF('초등학교+병설유치원(8월)'!BN12="",0,'초등학교+병설유치원(8월)'!BN12)</x:f>
        <x:v>0</x:v>
      </x:c>
      <x:c r="G164" s="294" t="n">
        <x:f>IF('초등학교+병설유치원(8월)'!BO12="",0,'초등학교+병설유치원(8월)'!BO12)</x:f>
        <x:v>0</x:v>
      </x:c>
      <x:c r="H164" s="294" t="n">
        <x:f>IF('초등학교+병설유치원(8월)'!BP12="",0,'초등학교+병설유치원(8월)'!BP12)</x:f>
        <x:v>0</x:v>
      </x:c>
      <x:c r="I164" s="294" t="n">
        <x:f>IF('초등학교+병설유치원(8월)'!BQ12="",0,'초등학교+병설유치원(8월)'!BQ12)</x:f>
        <x:v>0</x:v>
      </x:c>
      <x:c r="J164" s="296" t="n">
        <x:f>SUM(E164:I164)</x:f>
        <x:v>19</x:v>
      </x:c>
      <x:c r="K164" s="291" t="str">
        <x:v>8월</x:v>
      </x:c>
    </x:row>
    <x:row r="165">
      <x:c r="A165" s="291" t="n">
        <x:f>IF('초등학교+병설유치원(8월)'!A12="","",'초등학교+병설유치원(8월)'!A12)</x:f>
        <x:v>4</x:v>
      </x:c>
      <x:c r="B165" s="291" t="str">
        <x:v>초등학교</x:v>
      </x:c>
      <x:c r="C165" s="291" t="str">
        <x:f>IF('초등학교+병설유치원(8월)'!B12="","",'초등학교+병설유치원(8월)'!B12)</x:f>
        <x:v>이리남창초</x:v>
      </x:c>
      <x:c r="D165" s="293" t="n">
        <x:v>46248</x:v>
      </x:c>
      <x:c r="E165" s="294" t="n">
        <x:f>IF('초등학교+병설유치원(8월)'!BS12="",0,'초등학교+병설유치원(8월)'!BS12)</x:f>
        <x:v>19</x:v>
      </x:c>
      <x:c r="F165" s="294" t="n">
        <x:f>IF('초등학교+병설유치원(8월)'!BT12="",0,'초등학교+병설유치원(8월)'!BT12)</x:f>
        <x:v>0</x:v>
      </x:c>
      <x:c r="G165" s="294" t="n">
        <x:f>IF('초등학교+병설유치원(8월)'!BU12="",0,'초등학교+병설유치원(8월)'!BU12)</x:f>
        <x:v>0</x:v>
      </x:c>
      <x:c r="H165" s="294" t="n">
        <x:f>IF('초등학교+병설유치원(8월)'!BV12="",0,'초등학교+병설유치원(8월)'!BV12)</x:f>
        <x:v>0</x:v>
      </x:c>
      <x:c r="I165" s="294" t="n">
        <x:f>IF('초등학교+병설유치원(8월)'!BW12="",0,'초등학교+병설유치원(8월)'!BW12)</x:f>
        <x:v>0</x:v>
      </x:c>
      <x:c r="J165" s="296" t="n">
        <x:f>SUM(E165:I165)</x:f>
        <x:v>19</x:v>
      </x:c>
      <x:c r="K165" s="291" t="str">
        <x:v>8월</x:v>
      </x:c>
    </x:row>
    <x:row r="166">
      <x:c r="A166" s="291" t="n">
        <x:f>IF('초등학교+병설유치원(8월)'!A12="","",'초등학교+병설유치원(8월)'!A12)</x:f>
        <x:v>4</x:v>
      </x:c>
      <x:c r="B166" s="291" t="str">
        <x:v>초등학교</x:v>
      </x:c>
      <x:c r="C166" s="291" t="str">
        <x:f>IF('초등학교+병설유치원(8월)'!B12="","",'초등학교+병설유치원(8월)'!B12)</x:f>
        <x:v>이리남창초</x:v>
      </x:c>
      <x:c r="D166" s="293" t="n">
        <x:v>46252</x:v>
      </x:c>
      <x:c r="E166" s="294" t="n">
        <x:f>IF('초등학교+병설유치원(8월)'!BY12="",0,'초등학교+병설유치원(8월)'!BY12)</x:f>
        <x:v>19</x:v>
      </x:c>
      <x:c r="F166" s="294" t="n">
        <x:f>IF('초등학교+병설유치원(8월)'!BZ12="",0,'초등학교+병설유치원(8월)'!BZ12)</x:f>
        <x:v>0</x:v>
      </x:c>
      <x:c r="G166" s="294" t="n">
        <x:f>IF('초등학교+병설유치원(8월)'!CA12="",0,'초등학교+병설유치원(8월)'!CA12)</x:f>
        <x:v>0</x:v>
      </x:c>
      <x:c r="H166" s="294" t="n">
        <x:f>IF('초등학교+병설유치원(8월)'!CB12="",0,'초등학교+병설유치원(8월)'!CB12)</x:f>
        <x:v>0</x:v>
      </x:c>
      <x:c r="I166" s="294" t="n">
        <x:f>IF('초등학교+병설유치원(8월)'!CC12="",0,'초등학교+병설유치원(8월)'!CC12)</x:f>
        <x:v>0</x:v>
      </x:c>
      <x:c r="J166" s="296" t="n">
        <x:f>SUM(E166:I166)</x:f>
        <x:v>19</x:v>
      </x:c>
      <x:c r="K166" s="291" t="str">
        <x:v>8월</x:v>
      </x:c>
    </x:row>
    <x:row r="167">
      <x:c r="A167" s="291" t="n">
        <x:f>IF('초등학교+병설유치원(8월)'!A13="","",'초등학교+병설유치원(8월)'!A13)</x:f>
        <x:v>5</x:v>
      </x:c>
      <x:c r="B167" s="291" t="str">
        <x:v>초등학교</x:v>
      </x:c>
      <x:c r="C167" s="291" t="str">
        <x:f>IF('초등학교+병설유치원(8월)'!B13="","",'초등학교+병설유치원(8월)'!B13)</x:f>
        <x:v>이리남초</x:v>
      </x:c>
      <x:c r="D167" s="293" t="n">
        <x:v>46237</x:v>
      </x:c>
      <x:c r="E167" s="294" t="n">
        <x:f>IF('초등학교+병설유치원(8월)'!Q13="",0,'초등학교+병설유치원(8월)'!Q13)</x:f>
        <x:v>16</x:v>
      </x:c>
      <x:c r="F167" s="294" t="n">
        <x:f>IF('초등학교+병설유치원(8월)'!R13="",0,'초등학교+병설유치원(8월)'!R13)</x:f>
        <x:v>0</x:v>
      </x:c>
      <x:c r="G167" s="294" t="n">
        <x:f>IF('초등학교+병설유치원(8월)'!S13="",0,'초등학교+병설유치원(8월)'!S13)</x:f>
        <x:v>0</x:v>
      </x:c>
      <x:c r="H167" s="294" t="n">
        <x:f>IF('초등학교+병설유치원(8월)'!T13="",0,'초등학교+병설유치원(8월)'!T13)</x:f>
        <x:v>0</x:v>
      </x:c>
      <x:c r="I167" s="294" t="n">
        <x:f>IF('초등학교+병설유치원(8월)'!U13="",0,'초등학교+병설유치원(8월)'!U13)</x:f>
        <x:v>0</x:v>
      </x:c>
      <x:c r="J167" s="296" t="n">
        <x:f>SUM(E167:I167)</x:f>
        <x:v>16</x:v>
      </x:c>
      <x:c r="K167" s="291" t="str">
        <x:v>8월</x:v>
      </x:c>
    </x:row>
    <x:row r="168">
      <x:c r="A168" s="291" t="n">
        <x:f>IF('초등학교+병설유치원(8월)'!A13="","",'초등학교+병설유치원(8월)'!A13)</x:f>
        <x:v>5</x:v>
      </x:c>
      <x:c r="B168" s="291" t="str">
        <x:v>초등학교</x:v>
      </x:c>
      <x:c r="C168" s="291" t="str">
        <x:f>IF('초등학교+병설유치원(8월)'!B13="","",'초등학교+병설유치원(8월)'!B13)</x:f>
        <x:v>이리남초</x:v>
      </x:c>
      <x:c r="D168" s="293" t="n">
        <x:v>46238</x:v>
      </x:c>
      <x:c r="E168" s="294" t="n">
        <x:f>IF('초등학교+병설유치원(8월)'!W13="",0,'초등학교+병설유치원(8월)'!W13)</x:f>
        <x:v>16</x:v>
      </x:c>
      <x:c r="F168" s="294" t="n">
        <x:f>IF('초등학교+병설유치원(8월)'!X13="",0,'초등학교+병설유치원(8월)'!X13)</x:f>
        <x:v>0</x:v>
      </x:c>
      <x:c r="G168" s="294" t="n">
        <x:f>IF('초등학교+병설유치원(8월)'!Y13="",0,'초등학교+병설유치원(8월)'!Y13)</x:f>
        <x:v>0</x:v>
      </x:c>
      <x:c r="H168" s="294" t="n">
        <x:f>IF('초등학교+병설유치원(8월)'!Z13="",0,'초등학교+병설유치원(8월)'!Z13)</x:f>
        <x:v>0</x:v>
      </x:c>
      <x:c r="I168" s="294" t="n">
        <x:f>IF('초등학교+병설유치원(8월)'!AA13="",0,'초등학교+병설유치원(8월)'!AA13)</x:f>
        <x:v>0</x:v>
      </x:c>
      <x:c r="J168" s="296" t="n">
        <x:f>SUM(E168:I168)</x:f>
        <x:v>16</x:v>
      </x:c>
      <x:c r="K168" s="291" t="str">
        <x:v>8월</x:v>
      </x:c>
    </x:row>
    <x:row r="169">
      <x:c r="A169" s="291" t="n">
        <x:f>IF('초등학교+병설유치원(8월)'!A13="","",'초등학교+병설유치원(8월)'!A13)</x:f>
        <x:v>5</x:v>
      </x:c>
      <x:c r="B169" s="291" t="str">
        <x:v>초등학교</x:v>
      </x:c>
      <x:c r="C169" s="291" t="str">
        <x:f>IF('초등학교+병설유치원(8월)'!B13="","",'초등학교+병설유치원(8월)'!B13)</x:f>
        <x:v>이리남초</x:v>
      </x:c>
      <x:c r="D169" s="293" t="n">
        <x:v>46239</x:v>
      </x:c>
      <x:c r="E169" s="294" t="n">
        <x:f>IF('초등학교+병설유치원(8월)'!AC13="",0,'초등학교+병설유치원(8월)'!AC13)</x:f>
        <x:v>16</x:v>
      </x:c>
      <x:c r="F169" s="294" t="n">
        <x:f>IF('초등학교+병설유치원(8월)'!AD13="",0,'초등학교+병설유치원(8월)'!AD13)</x:f>
        <x:v>0</x:v>
      </x:c>
      <x:c r="G169" s="294" t="n">
        <x:f>IF('초등학교+병설유치원(8월)'!AE13="",0,'초등학교+병설유치원(8월)'!AE13)</x:f>
        <x:v>0</x:v>
      </x:c>
      <x:c r="H169" s="294" t="n">
        <x:f>IF('초등학교+병설유치원(8월)'!AF13="",0,'초등학교+병설유치원(8월)'!AF13)</x:f>
        <x:v>0</x:v>
      </x:c>
      <x:c r="I169" s="294" t="n">
        <x:f>IF('초등학교+병설유치원(8월)'!AG13="",0,'초등학교+병설유치원(8월)'!AG13)</x:f>
        <x:v>0</x:v>
      </x:c>
      <x:c r="J169" s="296" t="n">
        <x:f>SUM(E169:I169)</x:f>
        <x:v>16</x:v>
      </x:c>
      <x:c r="K169" s="291" t="str">
        <x:v>8월</x:v>
      </x:c>
    </x:row>
    <x:row r="170">
      <x:c r="A170" s="291" t="n">
        <x:f>IF('초등학교+병설유치원(8월)'!A13="","",'초등학교+병설유치원(8월)'!A13)</x:f>
        <x:v>5</x:v>
      </x:c>
      <x:c r="B170" s="291" t="str">
        <x:v>초등학교</x:v>
      </x:c>
      <x:c r="C170" s="291" t="str">
        <x:f>IF('초등학교+병설유치원(8월)'!B13="","",'초등학교+병설유치원(8월)'!B13)</x:f>
        <x:v>이리남초</x:v>
      </x:c>
      <x:c r="D170" s="293" t="n">
        <x:v>46240</x:v>
      </x:c>
      <x:c r="E170" s="294" t="n">
        <x:f>IF('초등학교+병설유치원(8월)'!AI13="",0,'초등학교+병설유치원(8월)'!AI13)</x:f>
        <x:v>16</x:v>
      </x:c>
      <x:c r="F170" s="294" t="n">
        <x:f>IF('초등학교+병설유치원(8월)'!AJ13="",0,'초등학교+병설유치원(8월)'!AJ13)</x:f>
        <x:v>0</x:v>
      </x:c>
      <x:c r="G170" s="294" t="n">
        <x:f>IF('초등학교+병설유치원(8월)'!AK13="",0,'초등학교+병설유치원(8월)'!AK13)</x:f>
        <x:v>0</x:v>
      </x:c>
      <x:c r="H170" s="294" t="n">
        <x:f>IF('초등학교+병설유치원(8월)'!AL13="",0,'초등학교+병설유치원(8월)'!AL13)</x:f>
        <x:v>0</x:v>
      </x:c>
      <x:c r="I170" s="294" t="n">
        <x:f>IF('초등학교+병설유치원(8월)'!AM13="",0,'초등학교+병설유치원(8월)'!AM13)</x:f>
        <x:v>0</x:v>
      </x:c>
      <x:c r="J170" s="296" t="n">
        <x:f>SUM(E170:I170)</x:f>
        <x:v>16</x:v>
      </x:c>
      <x:c r="K170" s="291" t="str">
        <x:v>8월</x:v>
      </x:c>
    </x:row>
    <x:row r="171">
      <x:c r="A171" s="291" t="n">
        <x:f>IF('초등학교+병설유치원(8월)'!A13="","",'초등학교+병설유치원(8월)'!A13)</x:f>
        <x:v>5</x:v>
      </x:c>
      <x:c r="B171" s="291" t="str">
        <x:v>초등학교</x:v>
      </x:c>
      <x:c r="C171" s="291" t="str">
        <x:f>IF('초등학교+병설유치원(8월)'!B13="","",'초등학교+병설유치원(8월)'!B13)</x:f>
        <x:v>이리남초</x:v>
      </x:c>
      <x:c r="D171" s="293" t="n">
        <x:v>46241</x:v>
      </x:c>
      <x:c r="E171" s="294" t="n">
        <x:f>IF('초등학교+병설유치원(8월)'!AO13="",0,'초등학교+병설유치원(8월)'!AO13)</x:f>
        <x:v>16</x:v>
      </x:c>
      <x:c r="F171" s="294" t="n">
        <x:f>IF('초등학교+병설유치원(8월)'!AP13="",0,'초등학교+병설유치원(8월)'!AP13)</x:f>
        <x:v>0</x:v>
      </x:c>
      <x:c r="G171" s="294" t="n">
        <x:f>IF('초등학교+병설유치원(8월)'!AQ13="",0,'초등학교+병설유치원(8월)'!AQ13)</x:f>
        <x:v>0</x:v>
      </x:c>
      <x:c r="H171" s="294" t="n">
        <x:f>IF('초등학교+병설유치원(8월)'!AR13="",0,'초등학교+병설유치원(8월)'!AR13)</x:f>
        <x:v>0</x:v>
      </x:c>
      <x:c r="I171" s="294" t="n">
        <x:f>IF('초등학교+병설유치원(8월)'!AS13="",0,'초등학교+병설유치원(8월)'!AS13)</x:f>
        <x:v>0</x:v>
      </x:c>
      <x:c r="J171" s="296" t="n">
        <x:f>SUM(E171:I171)</x:f>
        <x:v>16</x:v>
      </x:c>
      <x:c r="K171" s="291" t="str">
        <x:v>8월</x:v>
      </x:c>
    </x:row>
    <x:row r="172">
      <x:c r="A172" s="291" t="n">
        <x:f>IF('초등학교+병설유치원(8월)'!A14="","",'초등학교+병설유치원(8월)'!A14)</x:f>
        <x:v>6</x:v>
      </x:c>
      <x:c r="B172" s="291" t="str">
        <x:v>초등학교</x:v>
      </x:c>
      <x:c r="C172" s="291" t="str">
        <x:f>IF('초등학교+병설유치원(8월)'!B14="","",'초등학교+병설유치원(8월)'!B14)</x:f>
        <x:v>이리동남초</x:v>
      </x:c>
      <x:c r="D172" s="293" t="n">
        <x:v>46237</x:v>
      </x:c>
      <x:c r="E172" s="294" t="n">
        <x:f>IF('초등학교+병설유치원(8월)'!Q14="",0,'초등학교+병설유치원(8월)'!Q14)</x:f>
        <x:v>18</x:v>
      </x:c>
      <x:c r="F172" s="294" t="n">
        <x:f>IF('초등학교+병설유치원(8월)'!R14="",0,'초등학교+병설유치원(8월)'!R14)</x:f>
        <x:v>17</x:v>
      </x:c>
      <x:c r="G172" s="294" t="n">
        <x:f>IF('초등학교+병설유치원(8월)'!S14="",0,'초등학교+병설유치원(8월)'!S14)</x:f>
        <x:v>0</x:v>
      </x:c>
      <x:c r="H172" s="294" t="n">
        <x:f>IF('초등학교+병설유치원(8월)'!T14="",0,'초등학교+병설유치원(8월)'!T14)</x:f>
        <x:v>0</x:v>
      </x:c>
      <x:c r="I172" s="294" t="n">
        <x:f>IF('초등학교+병설유치원(8월)'!U14="",0,'초등학교+병설유치원(8월)'!U14)</x:f>
        <x:v>14</x:v>
      </x:c>
      <x:c r="J172" s="296" t="n">
        <x:f>SUM(E172:I172)</x:f>
        <x:v>49</x:v>
      </x:c>
      <x:c r="K172" s="291" t="str">
        <x:v>8월</x:v>
      </x:c>
    </x:row>
    <x:row r="173">
      <x:c r="A173" s="291" t="n">
        <x:f>IF('초등학교+병설유치원(8월)'!A14="","",'초등학교+병설유치원(8월)'!A14)</x:f>
        <x:v>6</x:v>
      </x:c>
      <x:c r="B173" s="291" t="str">
        <x:v>초등학교</x:v>
      </x:c>
      <x:c r="C173" s="291" t="str">
        <x:f>IF('초등학교+병설유치원(8월)'!B14="","",'초등학교+병설유치원(8월)'!B14)</x:f>
        <x:v>이리동남초</x:v>
      </x:c>
      <x:c r="D173" s="293" t="n">
        <x:v>46238</x:v>
      </x:c>
      <x:c r="E173" s="294" t="n">
        <x:f>IF('초등학교+병설유치원(8월)'!W14="",0,'초등학교+병설유치원(8월)'!W14)</x:f>
        <x:v>18</x:v>
      </x:c>
      <x:c r="F173" s="294" t="n">
        <x:f>IF('초등학교+병설유치원(8월)'!X14="",0,'초등학교+병설유치원(8월)'!X14)</x:f>
        <x:v>17</x:v>
      </x:c>
      <x:c r="G173" s="294" t="n">
        <x:f>IF('초등학교+병설유치원(8월)'!Y14="",0,'초등학교+병설유치원(8월)'!Y14)</x:f>
        <x:v>0</x:v>
      </x:c>
      <x:c r="H173" s="294" t="n">
        <x:f>IF('초등학교+병설유치원(8월)'!Z14="",0,'초등학교+병설유치원(8월)'!Z14)</x:f>
        <x:v>0</x:v>
      </x:c>
      <x:c r="I173" s="294" t="n">
        <x:f>IF('초등학교+병설유치원(8월)'!AA14="",0,'초등학교+병설유치원(8월)'!AA14)</x:f>
        <x:v>14</x:v>
      </x:c>
      <x:c r="J173" s="296" t="n">
        <x:f>SUM(E173:I173)</x:f>
        <x:v>49</x:v>
      </x:c>
      <x:c r="K173" s="291" t="str">
        <x:v>8월</x:v>
      </x:c>
    </x:row>
    <x:row r="174">
      <x:c r="A174" s="291" t="n">
        <x:f>IF('초등학교+병설유치원(8월)'!A14="","",'초등학교+병설유치원(8월)'!A14)</x:f>
        <x:v>6</x:v>
      </x:c>
      <x:c r="B174" s="291" t="str">
        <x:v>초등학교</x:v>
      </x:c>
      <x:c r="C174" s="291" t="str">
        <x:f>IF('초등학교+병설유치원(8월)'!B14="","",'초등학교+병설유치원(8월)'!B14)</x:f>
        <x:v>이리동남초</x:v>
      </x:c>
      <x:c r="D174" s="293" t="n">
        <x:v>46239</x:v>
      </x:c>
      <x:c r="E174" s="294" t="n">
        <x:f>IF('초등학교+병설유치원(8월)'!AC14="",0,'초등학교+병설유치원(8월)'!AC14)</x:f>
        <x:v>18</x:v>
      </x:c>
      <x:c r="F174" s="294" t="n">
        <x:f>IF('초등학교+병설유치원(8월)'!AD14="",0,'초등학교+병설유치원(8월)'!AD14)</x:f>
        <x:v>17</x:v>
      </x:c>
      <x:c r="G174" s="294" t="n">
        <x:f>IF('초등학교+병설유치원(8월)'!AE14="",0,'초등학교+병설유치원(8월)'!AE14)</x:f>
        <x:v>0</x:v>
      </x:c>
      <x:c r="H174" s="294" t="n">
        <x:f>IF('초등학교+병설유치원(8월)'!AF14="",0,'초등학교+병설유치원(8월)'!AF14)</x:f>
        <x:v>0</x:v>
      </x:c>
      <x:c r="I174" s="294" t="n">
        <x:f>IF('초등학교+병설유치원(8월)'!AG14="",0,'초등학교+병설유치원(8월)'!AG14)</x:f>
        <x:v>14</x:v>
      </x:c>
      <x:c r="J174" s="296" t="n">
        <x:f>SUM(E174:I174)</x:f>
        <x:v>49</x:v>
      </x:c>
      <x:c r="K174" s="291" t="str">
        <x:v>8월</x:v>
      </x:c>
    </x:row>
    <x:row r="175">
      <x:c r="A175" s="291" t="n">
        <x:f>IF('초등학교+병설유치원(8월)'!A14="","",'초등학교+병설유치원(8월)'!A14)</x:f>
        <x:v>6</x:v>
      </x:c>
      <x:c r="B175" s="291" t="str">
        <x:v>초등학교</x:v>
      </x:c>
      <x:c r="C175" s="291" t="str">
        <x:f>IF('초등학교+병설유치원(8월)'!B14="","",'초등학교+병설유치원(8월)'!B14)</x:f>
        <x:v>이리동남초</x:v>
      </x:c>
      <x:c r="D175" s="293" t="n">
        <x:v>46240</x:v>
      </x:c>
      <x:c r="E175" s="294" t="n">
        <x:f>IF('초등학교+병설유치원(8월)'!AI14="",0,'초등학교+병설유치원(8월)'!AI14)</x:f>
        <x:v>18</x:v>
      </x:c>
      <x:c r="F175" s="294" t="n">
        <x:f>IF('초등학교+병설유치원(8월)'!AJ14="",0,'초등학교+병설유치원(8월)'!AJ14)</x:f>
        <x:v>17</x:v>
      </x:c>
      <x:c r="G175" s="294" t="n">
        <x:f>IF('초등학교+병설유치원(8월)'!AK14="",0,'초등학교+병설유치원(8월)'!AK14)</x:f>
        <x:v>0</x:v>
      </x:c>
      <x:c r="H175" s="294" t="n">
        <x:f>IF('초등학교+병설유치원(8월)'!AL14="",0,'초등학교+병설유치원(8월)'!AL14)</x:f>
        <x:v>0</x:v>
      </x:c>
      <x:c r="I175" s="294" t="n">
        <x:f>IF('초등학교+병설유치원(8월)'!AM14="",0,'초등학교+병설유치원(8월)'!AM14)</x:f>
        <x:v>14</x:v>
      </x:c>
      <x:c r="J175" s="296" t="n">
        <x:f>SUM(E175:I175)</x:f>
        <x:v>49</x:v>
      </x:c>
      <x:c r="K175" s="291" t="str">
        <x:v>8월</x:v>
      </x:c>
    </x:row>
    <x:row r="176">
      <x:c r="A176" s="291" t="n">
        <x:f>IF('초등학교+병설유치원(8월)'!A14="","",'초등학교+병설유치원(8월)'!A14)</x:f>
        <x:v>6</x:v>
      </x:c>
      <x:c r="B176" s="291" t="str">
        <x:v>초등학교</x:v>
      </x:c>
      <x:c r="C176" s="291" t="str">
        <x:f>IF('초등학교+병설유치원(8월)'!B14="","",'초등학교+병설유치원(8월)'!B14)</x:f>
        <x:v>이리동남초</x:v>
      </x:c>
      <x:c r="D176" s="293" t="n">
        <x:v>46241</x:v>
      </x:c>
      <x:c r="E176" s="294" t="n">
        <x:f>IF('초등학교+병설유치원(8월)'!AO14="",0,'초등학교+병설유치원(8월)'!AO14)</x:f>
        <x:v>18</x:v>
      </x:c>
      <x:c r="F176" s="294" t="n">
        <x:f>IF('초등학교+병설유치원(8월)'!AP14="",0,'초등학교+병설유치원(8월)'!AP14)</x:f>
        <x:v>17</x:v>
      </x:c>
      <x:c r="G176" s="294" t="n">
        <x:f>IF('초등학교+병설유치원(8월)'!AQ14="",0,'초등학교+병설유치원(8월)'!AQ14)</x:f>
        <x:v>0</x:v>
      </x:c>
      <x:c r="H176" s="294" t="n">
        <x:f>IF('초등학교+병설유치원(8월)'!AR14="",0,'초등학교+병설유치원(8월)'!AR14)</x:f>
        <x:v>0</x:v>
      </x:c>
      <x:c r="I176" s="294" t="n">
        <x:f>IF('초등학교+병설유치원(8월)'!AS14="",0,'초등학교+병설유치원(8월)'!AS14)</x:f>
        <x:v>14</x:v>
      </x:c>
      <x:c r="J176" s="296" t="n">
        <x:f>SUM(E176:I176)</x:f>
        <x:v>49</x:v>
      </x:c>
      <x:c r="K176" s="291" t="str">
        <x:v>8월</x:v>
      </x:c>
    </x:row>
    <x:row r="177">
      <x:c r="A177" s="291" t="n">
        <x:f>IF('초등학교+병설유치원(8월)'!A14="","",'초등학교+병설유치원(8월)'!A14)</x:f>
        <x:v>6</x:v>
      </x:c>
      <x:c r="B177" s="291" t="str">
        <x:v>초등학교</x:v>
      </x:c>
      <x:c r="C177" s="291" t="str">
        <x:f>IF('초등학교+병설유치원(8월)'!B14="","",'초등학교+병설유치원(8월)'!B14)</x:f>
        <x:v>이리동남초</x:v>
      </x:c>
      <x:c r="D177" s="293" t="n">
        <x:v>46244</x:v>
      </x:c>
      <x:c r="E177" s="294" t="n">
        <x:f>IF('초등학교+병설유치원(8월)'!AU14="",0,'초등학교+병설유치원(8월)'!AU14)</x:f>
        <x:v>18</x:v>
      </x:c>
      <x:c r="F177" s="294" t="n">
        <x:f>IF('초등학교+병설유치원(8월)'!AV14="",0,'초등학교+병설유치원(8월)'!AV14)</x:f>
        <x:v>17</x:v>
      </x:c>
      <x:c r="G177" s="294" t="n">
        <x:f>IF('초등학교+병설유치원(8월)'!AW14="",0,'초등학교+병설유치원(8월)'!AW14)</x:f>
        <x:v>0</x:v>
      </x:c>
      <x:c r="H177" s="294" t="n">
        <x:f>IF('초등학교+병설유치원(8월)'!AX14="",0,'초등학교+병설유치원(8월)'!AX14)</x:f>
        <x:v>0</x:v>
      </x:c>
      <x:c r="I177" s="294" t="n">
        <x:f>IF('초등학교+병설유치원(8월)'!AY14="",0,'초등학교+병설유치원(8월)'!AY14)</x:f>
        <x:v>14</x:v>
      </x:c>
      <x:c r="J177" s="296" t="n">
        <x:f>SUM(E177:I177)</x:f>
        <x:v>49</x:v>
      </x:c>
      <x:c r="K177" s="291" t="str">
        <x:v>8월</x:v>
      </x:c>
    </x:row>
    <x:row r="178">
      <x:c r="A178" s="291" t="n">
        <x:f>IF('초등학교+병설유치원(8월)'!A14="","",'초등학교+병설유치원(8월)'!A14)</x:f>
        <x:v>6</x:v>
      </x:c>
      <x:c r="B178" s="291" t="str">
        <x:v>초등학교</x:v>
      </x:c>
      <x:c r="C178" s="291" t="str">
        <x:f>IF('초등학교+병설유치원(8월)'!B14="","",'초등학교+병설유치원(8월)'!B14)</x:f>
        <x:v>이리동남초</x:v>
      </x:c>
      <x:c r="D178" s="293" t="n">
        <x:v>46245</x:v>
      </x:c>
      <x:c r="E178" s="294" t="n">
        <x:f>IF('초등학교+병설유치원(8월)'!BA14="",0,'초등학교+병설유치원(8월)'!BA14)</x:f>
        <x:v>18</x:v>
      </x:c>
      <x:c r="F178" s="294" t="n">
        <x:f>IF('초등학교+병설유치원(8월)'!BB14="",0,'초등학교+병설유치원(8월)'!BB14)</x:f>
        <x:v>17</x:v>
      </x:c>
      <x:c r="G178" s="294" t="n">
        <x:f>IF('초등학교+병설유치원(8월)'!BC14="",0,'초등학교+병설유치원(8월)'!BC14)</x:f>
        <x:v>0</x:v>
      </x:c>
      <x:c r="H178" s="294" t="n">
        <x:f>IF('초등학교+병설유치원(8월)'!BD14="",0,'초등학교+병설유치원(8월)'!BD14)</x:f>
        <x:v>0</x:v>
      </x:c>
      <x:c r="I178" s="294" t="n">
        <x:f>IF('초등학교+병설유치원(8월)'!BE14="",0,'초등학교+병설유치원(8월)'!BE14)</x:f>
        <x:v>14</x:v>
      </x:c>
      <x:c r="J178" s="296" t="n">
        <x:f>SUM(E178:I178)</x:f>
        <x:v>49</x:v>
      </x:c>
      <x:c r="K178" s="291" t="str">
        <x:v>8월</x:v>
      </x:c>
    </x:row>
    <x:row r="179">
      <x:c r="A179" s="291" t="n">
        <x:f>IF('초등학교+병설유치원(8월)'!A14="","",'초등학교+병설유치원(8월)'!A14)</x:f>
        <x:v>6</x:v>
      </x:c>
      <x:c r="B179" s="291" t="str">
        <x:v>초등학교</x:v>
      </x:c>
      <x:c r="C179" s="291" t="str">
        <x:f>IF('초등학교+병설유치원(8월)'!B14="","",'초등학교+병설유치원(8월)'!B14)</x:f>
        <x:v>이리동남초</x:v>
      </x:c>
      <x:c r="D179" s="293" t="n">
        <x:v>46246</x:v>
      </x:c>
      <x:c r="E179" s="294" t="n">
        <x:f>IF('초등학교+병설유치원(8월)'!BG14="",0,'초등학교+병설유치원(8월)'!BG14)</x:f>
        <x:v>18</x:v>
      </x:c>
      <x:c r="F179" s="294" t="n">
        <x:f>IF('초등학교+병설유치원(8월)'!BH14="",0,'초등학교+병설유치원(8월)'!BH14)</x:f>
        <x:v>17</x:v>
      </x:c>
      <x:c r="G179" s="294" t="n">
        <x:f>IF('초등학교+병설유치원(8월)'!BI14="",0,'초등학교+병설유치원(8월)'!BI14)</x:f>
        <x:v>0</x:v>
      </x:c>
      <x:c r="H179" s="294" t="n">
        <x:f>IF('초등학교+병설유치원(8월)'!BJ14="",0,'초등학교+병설유치원(8월)'!BJ14)</x:f>
        <x:v>0</x:v>
      </x:c>
      <x:c r="I179" s="294" t="n">
        <x:f>IF('초등학교+병설유치원(8월)'!BK14="",0,'초등학교+병설유치원(8월)'!BK14)</x:f>
        <x:v>14</x:v>
      </x:c>
      <x:c r="J179" s="296" t="n">
        <x:f>SUM(E179:I179)</x:f>
        <x:v>49</x:v>
      </x:c>
      <x:c r="K179" s="291" t="str">
        <x:v>8월</x:v>
      </x:c>
    </x:row>
    <x:row r="180">
      <x:c r="A180" s="291" t="n">
        <x:f>IF('초등학교+병설유치원(8월)'!A14="","",'초등학교+병설유치원(8월)'!A14)</x:f>
        <x:v>6</x:v>
      </x:c>
      <x:c r="B180" s="291" t="str">
        <x:v>초등학교</x:v>
      </x:c>
      <x:c r="C180" s="291" t="str">
        <x:f>IF('초등학교+병설유치원(8월)'!B14="","",'초등학교+병설유치원(8월)'!B14)</x:f>
        <x:v>이리동남초</x:v>
      </x:c>
      <x:c r="D180" s="293" t="n">
        <x:v>46247</x:v>
      </x:c>
      <x:c r="E180" s="294" t="n">
        <x:f>IF('초등학교+병설유치원(8월)'!BM14="",0,'초등학교+병설유치원(8월)'!BM14)</x:f>
        <x:v>18</x:v>
      </x:c>
      <x:c r="F180" s="294" t="n">
        <x:f>IF('초등학교+병설유치원(8월)'!BN14="",0,'초등학교+병설유치원(8월)'!BN14)</x:f>
        <x:v>17</x:v>
      </x:c>
      <x:c r="G180" s="294" t="n">
        <x:f>IF('초등학교+병설유치원(8월)'!BO14="",0,'초등학교+병설유치원(8월)'!BO14)</x:f>
        <x:v>0</x:v>
      </x:c>
      <x:c r="H180" s="294" t="n">
        <x:f>IF('초등학교+병설유치원(8월)'!BP14="",0,'초등학교+병설유치원(8월)'!BP14)</x:f>
        <x:v>0</x:v>
      </x:c>
      <x:c r="I180" s="294" t="n">
        <x:f>IF('초등학교+병설유치원(8월)'!BQ14="",0,'초등학교+병설유치원(8월)'!BQ14)</x:f>
        <x:v>14</x:v>
      </x:c>
      <x:c r="J180" s="296" t="n">
        <x:f>SUM(E180:I180)</x:f>
        <x:v>49</x:v>
      </x:c>
      <x:c r="K180" s="291" t="str">
        <x:v>8월</x:v>
      </x:c>
    </x:row>
    <x:row r="181">
      <x:c r="A181" s="291" t="n">
        <x:f>IF('초등학교+병설유치원(8월)'!A14="","",'초등학교+병설유치원(8월)'!A14)</x:f>
        <x:v>6</x:v>
      </x:c>
      <x:c r="B181" s="291" t="str">
        <x:v>초등학교</x:v>
      </x:c>
      <x:c r="C181" s="291" t="str">
        <x:f>IF('초등학교+병설유치원(8월)'!B14="","",'초등학교+병설유치원(8월)'!B14)</x:f>
        <x:v>이리동남초</x:v>
      </x:c>
      <x:c r="D181" s="293" t="n">
        <x:v>46248</x:v>
      </x:c>
      <x:c r="E181" s="294" t="n">
        <x:f>IF('초등학교+병설유치원(8월)'!BS14="",0,'초등학교+병설유치원(8월)'!BS14)</x:f>
        <x:v>18</x:v>
      </x:c>
      <x:c r="F181" s="294" t="n">
        <x:f>IF('초등학교+병설유치원(8월)'!BT14="",0,'초등학교+병설유치원(8월)'!BT14)</x:f>
        <x:v>17</x:v>
      </x:c>
      <x:c r="G181" s="294" t="n">
        <x:f>IF('초등학교+병설유치원(8월)'!BU14="",0,'초등학교+병설유치원(8월)'!BU14)</x:f>
        <x:v>0</x:v>
      </x:c>
      <x:c r="H181" s="294" t="n">
        <x:f>IF('초등학교+병설유치원(8월)'!BV14="",0,'초등학교+병설유치원(8월)'!BV14)</x:f>
        <x:v>0</x:v>
      </x:c>
      <x:c r="I181" s="294" t="n">
        <x:f>IF('초등학교+병설유치원(8월)'!BW14="",0,'초등학교+병설유치원(8월)'!BW14)</x:f>
        <x:v>14</x:v>
      </x:c>
      <x:c r="J181" s="296" t="n">
        <x:f>SUM(E181:I181)</x:f>
        <x:v>49</x:v>
      </x:c>
      <x:c r="K181" s="291" t="str">
        <x:v>8월</x:v>
      </x:c>
    </x:row>
    <x:row r="182">
      <x:c r="A182" s="291" t="n">
        <x:f>IF('초등학교+병설유치원(8월)'!A14="","",'초등학교+병설유치원(8월)'!A14)</x:f>
        <x:v>6</x:v>
      </x:c>
      <x:c r="B182" s="291" t="str">
        <x:v>초등학교</x:v>
      </x:c>
      <x:c r="C182" s="291" t="str">
        <x:f>IF('초등학교+병설유치원(8월)'!B14="","",'초등학교+병설유치원(8월)'!B14)</x:f>
        <x:v>이리동남초</x:v>
      </x:c>
      <x:c r="D182" s="293" t="n">
        <x:v>46252</x:v>
      </x:c>
      <x:c r="E182" s="294" t="n">
        <x:f>IF('초등학교+병설유치원(8월)'!BY14="",0,'초등학교+병설유치원(8월)'!BY14)</x:f>
        <x:v>18</x:v>
      </x:c>
      <x:c r="F182" s="294" t="n">
        <x:f>IF('초등학교+병설유치원(8월)'!BZ14="",0,'초등학교+병설유치원(8월)'!BZ14)</x:f>
        <x:v>17</x:v>
      </x:c>
      <x:c r="G182" s="294" t="n">
        <x:f>IF('초등학교+병설유치원(8월)'!CA14="",0,'초등학교+병설유치원(8월)'!CA14)</x:f>
        <x:v>0</x:v>
      </x:c>
      <x:c r="H182" s="294" t="n">
        <x:f>IF('초등학교+병설유치원(8월)'!CB14="",0,'초등학교+병설유치원(8월)'!CB14)</x:f>
        <x:v>0</x:v>
      </x:c>
      <x:c r="I182" s="294" t="n">
        <x:f>IF('초등학교+병설유치원(8월)'!CC14="",0,'초등학교+병설유치원(8월)'!CC14)</x:f>
        <x:v>14</x:v>
      </x:c>
      <x:c r="J182" s="296" t="n">
        <x:f>SUM(E182:I182)</x:f>
        <x:v>49</x:v>
      </x:c>
      <x:c r="K182" s="291" t="str">
        <x:v>8월</x:v>
      </x:c>
    </x:row>
    <x:row r="183">
      <x:c r="A183" s="291" t="n">
        <x:f>IF('초등학교+병설유치원(8월)'!A14="","",'초등학교+병설유치원(8월)'!A14)</x:f>
        <x:v>6</x:v>
      </x:c>
      <x:c r="B183" s="291" t="str">
        <x:v>초등학교</x:v>
      </x:c>
      <x:c r="C183" s="291" t="str">
        <x:f>IF('초등학교+병설유치원(8월)'!B14="","",'초등학교+병설유치원(8월)'!B14)</x:f>
        <x:v>이리동남초</x:v>
      </x:c>
      <x:c r="D183" s="293" t="n">
        <x:v>46253</x:v>
      </x:c>
      <x:c r="E183" s="294" t="n">
        <x:f>IF('초등학교+병설유치원(8월)'!CE14="",0,'초등학교+병설유치원(8월)'!CE14)</x:f>
        <x:v>18</x:v>
      </x:c>
      <x:c r="F183" s="294" t="n">
        <x:f>IF('초등학교+병설유치원(8월)'!CF14="",0,'초등학교+병설유치원(8월)'!CF14)</x:f>
        <x:v>17</x:v>
      </x:c>
      <x:c r="G183" s="294" t="n">
        <x:f>IF('초등학교+병설유치원(8월)'!CG14="",0,'초등학교+병설유치원(8월)'!CG14)</x:f>
        <x:v>0</x:v>
      </x:c>
      <x:c r="H183" s="294" t="n">
        <x:f>IF('초등학교+병설유치원(8월)'!CH14="",0,'초등학교+병설유치원(8월)'!CH14)</x:f>
        <x:v>0</x:v>
      </x:c>
      <x:c r="I183" s="294" t="n">
        <x:f>IF('초등학교+병설유치원(8월)'!CI14="",0,'초등학교+병설유치원(8월)'!CI14)</x:f>
        <x:v>14</x:v>
      </x:c>
      <x:c r="J183" s="296" t="n">
        <x:f>SUM(E183:I183)</x:f>
        <x:v>49</x:v>
      </x:c>
      <x:c r="K183" s="291" t="str">
        <x:v>8월</x:v>
      </x:c>
    </x:row>
    <x:row r="184">
      <x:c r="A184" s="291" t="n">
        <x:f>IF('초등학교+병설유치원(8월)'!A14="","",'초등학교+병설유치원(8월)'!A14)</x:f>
        <x:v>6</x:v>
      </x:c>
      <x:c r="B184" s="291" t="str">
        <x:v>초등학교</x:v>
      </x:c>
      <x:c r="C184" s="291" t="str">
        <x:f>IF('초등학교+병설유치원(8월)'!B14="","",'초등학교+병설유치원(8월)'!B14)</x:f>
        <x:v>이리동남초</x:v>
      </x:c>
      <x:c r="D184" s="293" t="n">
        <x:v>46254</x:v>
      </x:c>
      <x:c r="E184" s="294" t="n">
        <x:f>IF('초등학교+병설유치원(8월)'!CK14="",0,'초등학교+병설유치원(8월)'!CK14)</x:f>
        <x:v>18</x:v>
      </x:c>
      <x:c r="F184" s="294" t="n">
        <x:f>IF('초등학교+병설유치원(8월)'!CL14="",0,'초등학교+병설유치원(8월)'!CL14)</x:f>
        <x:v>17</x:v>
      </x:c>
      <x:c r="G184" s="294" t="n">
        <x:f>IF('초등학교+병설유치원(8월)'!CM14="",0,'초등학교+병설유치원(8월)'!CM14)</x:f>
        <x:v>0</x:v>
      </x:c>
      <x:c r="H184" s="294" t="n">
        <x:f>IF('초등학교+병설유치원(8월)'!CN14="",0,'초등학교+병설유치원(8월)'!CN14)</x:f>
        <x:v>0</x:v>
      </x:c>
      <x:c r="I184" s="294" t="n">
        <x:f>IF('초등학교+병설유치원(8월)'!CO14="",0,'초등학교+병설유치원(8월)'!CO14)</x:f>
        <x:v>14</x:v>
      </x:c>
      <x:c r="J184" s="296" t="n">
        <x:f>SUM(E184:I184)</x:f>
        <x:v>49</x:v>
      </x:c>
      <x:c r="K184" s="291" t="str">
        <x:v>8월</x:v>
      </x:c>
    </x:row>
    <x:row r="185">
      <x:c r="A185" s="291" t="str">
        <x:f>IF('초등학교+병설유치원(8월)'!A15="","",'초등학교+병설유치원(8월)'!A15)</x:f>
        <x:v>6-1</x:v>
      </x:c>
      <x:c r="B185" s="291" t="str">
        <x:v>병설유치원</x:v>
      </x:c>
      <x:c r="C185" s="291" t="str">
        <x:f>IF('초등학교+병설유치원(8월)'!B15="","",'초등학교+병설유치원(8월)'!B15)</x:f>
        <x:v>이리동남초 병설유치원</x:v>
      </x:c>
      <x:c r="D185" s="293" t="n">
        <x:v>46237</x:v>
      </x:c>
      <x:c r="E185" s="294" t="n">
        <x:f>IF('초등학교+병설유치원(8월)'!Q15="",0,'초등학교+병설유치원(8월)'!Q15)</x:f>
        <x:v>9</x:v>
      </x:c>
      <x:c r="F185" s="294" t="n">
        <x:f>IF('초등학교+병설유치원(8월)'!R15="",0,'초등학교+병설유치원(8월)'!R15)</x:f>
        <x:v>0</x:v>
      </x:c>
      <x:c r="G185" s="294" t="n">
        <x:f>IF('초등학교+병설유치원(8월)'!S15="",0,'초등학교+병설유치원(8월)'!S15)</x:f>
        <x:v>0</x:v>
      </x:c>
      <x:c r="H185" s="294" t="n">
        <x:f>IF('초등학교+병설유치원(8월)'!T15="",0,'초등학교+병설유치원(8월)'!T15)</x:f>
        <x:v>0</x:v>
      </x:c>
      <x:c r="I185" s="294" t="n">
        <x:f>IF('초등학교+병설유치원(8월)'!U15="",0,'초등학교+병설유치원(8월)'!U15)</x:f>
        <x:v>0</x:v>
      </x:c>
      <x:c r="J185" s="296" t="n">
        <x:f>SUM(E185:I185)</x:f>
        <x:v>9</x:v>
      </x:c>
      <x:c r="K185" s="291" t="str">
        <x:v>8월</x:v>
      </x:c>
    </x:row>
    <x:row r="186">
      <x:c r="A186" s="291" t="str">
        <x:f>IF('초등학교+병설유치원(8월)'!A15="","",'초등학교+병설유치원(8월)'!A15)</x:f>
        <x:v>6-1</x:v>
      </x:c>
      <x:c r="B186" s="291" t="str">
        <x:v>병설유치원</x:v>
      </x:c>
      <x:c r="C186" s="291" t="str">
        <x:f>IF('초등학교+병설유치원(8월)'!B15="","",'초등학교+병설유치원(8월)'!B15)</x:f>
        <x:v>이리동남초 병설유치원</x:v>
      </x:c>
      <x:c r="D186" s="293" t="n">
        <x:v>46238</x:v>
      </x:c>
      <x:c r="E186" s="294" t="n">
        <x:f>IF('초등학교+병설유치원(8월)'!W15="",0,'초등학교+병설유치원(8월)'!W15)</x:f>
        <x:v>9</x:v>
      </x:c>
      <x:c r="F186" s="294" t="n">
        <x:f>IF('초등학교+병설유치원(8월)'!X15="",0,'초등학교+병설유치원(8월)'!X15)</x:f>
        <x:v>0</x:v>
      </x:c>
      <x:c r="G186" s="294" t="n">
        <x:f>IF('초등학교+병설유치원(8월)'!Y15="",0,'초등학교+병설유치원(8월)'!Y15)</x:f>
        <x:v>0</x:v>
      </x:c>
      <x:c r="H186" s="294" t="n">
        <x:f>IF('초등학교+병설유치원(8월)'!Z15="",0,'초등학교+병설유치원(8월)'!Z15)</x:f>
        <x:v>0</x:v>
      </x:c>
      <x:c r="I186" s="294" t="n">
        <x:f>IF('초등학교+병설유치원(8월)'!AA15="",0,'초등학교+병설유치원(8월)'!AA15)</x:f>
        <x:v>0</x:v>
      </x:c>
      <x:c r="J186" s="296" t="n">
        <x:f>SUM(E186:I186)</x:f>
        <x:v>9</x:v>
      </x:c>
      <x:c r="K186" s="291" t="str">
        <x:v>8월</x:v>
      </x:c>
    </x:row>
    <x:row r="187">
      <x:c r="A187" s="291" t="str">
        <x:f>IF('초등학교+병설유치원(8월)'!A15="","",'초등학교+병설유치원(8월)'!A15)</x:f>
        <x:v>6-1</x:v>
      </x:c>
      <x:c r="B187" s="291" t="str">
        <x:v>병설유치원</x:v>
      </x:c>
      <x:c r="C187" s="291" t="str">
        <x:f>IF('초등학교+병설유치원(8월)'!B15="","",'초등학교+병설유치원(8월)'!B15)</x:f>
        <x:v>이리동남초 병설유치원</x:v>
      </x:c>
      <x:c r="D187" s="293" t="n">
        <x:v>46239</x:v>
      </x:c>
      <x:c r="E187" s="294" t="n">
        <x:f>IF('초등학교+병설유치원(8월)'!AC15="",0,'초등학교+병설유치원(8월)'!AC15)</x:f>
        <x:v>9</x:v>
      </x:c>
      <x:c r="F187" s="294" t="n">
        <x:f>IF('초등학교+병설유치원(8월)'!AD15="",0,'초등학교+병설유치원(8월)'!AD15)</x:f>
        <x:v>0</x:v>
      </x:c>
      <x:c r="G187" s="294" t="n">
        <x:f>IF('초등학교+병설유치원(8월)'!AE15="",0,'초등학교+병설유치원(8월)'!AE15)</x:f>
        <x:v>0</x:v>
      </x:c>
      <x:c r="H187" s="294" t="n">
        <x:f>IF('초등학교+병설유치원(8월)'!AF15="",0,'초등학교+병설유치원(8월)'!AF15)</x:f>
        <x:v>0</x:v>
      </x:c>
      <x:c r="I187" s="294" t="n">
        <x:f>IF('초등학교+병설유치원(8월)'!AG15="",0,'초등학교+병설유치원(8월)'!AG15)</x:f>
        <x:v>0</x:v>
      </x:c>
      <x:c r="J187" s="296" t="n">
        <x:f>SUM(E187:I187)</x:f>
        <x:v>9</x:v>
      </x:c>
      <x:c r="K187" s="291" t="str">
        <x:v>8월</x:v>
      </x:c>
    </x:row>
    <x:row r="188">
      <x:c r="A188" s="291" t="str">
        <x:f>IF('초등학교+병설유치원(8월)'!A15="","",'초등학교+병설유치원(8월)'!A15)</x:f>
        <x:v>6-1</x:v>
      </x:c>
      <x:c r="B188" s="291" t="str">
        <x:v>병설유치원</x:v>
      </x:c>
      <x:c r="C188" s="291" t="str">
        <x:f>IF('초등학교+병설유치원(8월)'!B15="","",'초등학교+병설유치원(8월)'!B15)</x:f>
        <x:v>이리동남초 병설유치원</x:v>
      </x:c>
      <x:c r="D188" s="293" t="n">
        <x:v>46240</x:v>
      </x:c>
      <x:c r="E188" s="294" t="n">
        <x:f>IF('초등학교+병설유치원(8월)'!AI15="",0,'초등학교+병설유치원(8월)'!AI15)</x:f>
        <x:v>9</x:v>
      </x:c>
      <x:c r="F188" s="294" t="n">
        <x:f>IF('초등학교+병설유치원(8월)'!AJ15="",0,'초등학교+병설유치원(8월)'!AJ15)</x:f>
        <x:v>0</x:v>
      </x:c>
      <x:c r="G188" s="294" t="n">
        <x:f>IF('초등학교+병설유치원(8월)'!AK15="",0,'초등학교+병설유치원(8월)'!AK15)</x:f>
        <x:v>0</x:v>
      </x:c>
      <x:c r="H188" s="294" t="n">
        <x:f>IF('초등학교+병설유치원(8월)'!AL15="",0,'초등학교+병설유치원(8월)'!AL15)</x:f>
        <x:v>0</x:v>
      </x:c>
      <x:c r="I188" s="294" t="n">
        <x:f>IF('초등학교+병설유치원(8월)'!AM15="",0,'초등학교+병설유치원(8월)'!AM15)</x:f>
        <x:v>0</x:v>
      </x:c>
      <x:c r="J188" s="296" t="n">
        <x:f>SUM(E188:I188)</x:f>
        <x:v>9</x:v>
      </x:c>
      <x:c r="K188" s="291" t="str">
        <x:v>8월</x:v>
      </x:c>
    </x:row>
    <x:row r="189">
      <x:c r="A189" s="291" t="str">
        <x:f>IF('초등학교+병설유치원(8월)'!A15="","",'초등학교+병설유치원(8월)'!A15)</x:f>
        <x:v>6-1</x:v>
      </x:c>
      <x:c r="B189" s="291" t="str">
        <x:v>병설유치원</x:v>
      </x:c>
      <x:c r="C189" s="291" t="str">
        <x:f>IF('초등학교+병설유치원(8월)'!B15="","",'초등학교+병설유치원(8월)'!B15)</x:f>
        <x:v>이리동남초 병설유치원</x:v>
      </x:c>
      <x:c r="D189" s="293" t="n">
        <x:v>46241</x:v>
      </x:c>
      <x:c r="E189" s="294" t="n">
        <x:f>IF('초등학교+병설유치원(8월)'!AO15="",0,'초등학교+병설유치원(8월)'!AO15)</x:f>
        <x:v>9</x:v>
      </x:c>
      <x:c r="F189" s="294" t="n">
        <x:f>IF('초등학교+병설유치원(8월)'!AP15="",0,'초등학교+병설유치원(8월)'!AP15)</x:f>
        <x:v>0</x:v>
      </x:c>
      <x:c r="G189" s="294" t="n">
        <x:f>IF('초등학교+병설유치원(8월)'!AQ15="",0,'초등학교+병설유치원(8월)'!AQ15)</x:f>
        <x:v>0</x:v>
      </x:c>
      <x:c r="H189" s="294" t="n">
        <x:f>IF('초등학교+병설유치원(8월)'!AR15="",0,'초등학교+병설유치원(8월)'!AR15)</x:f>
        <x:v>0</x:v>
      </x:c>
      <x:c r="I189" s="294" t="n">
        <x:f>IF('초등학교+병설유치원(8월)'!AS15="",0,'초등학교+병설유치원(8월)'!AS15)</x:f>
        <x:v>0</x:v>
      </x:c>
      <x:c r="J189" s="296" t="n">
        <x:f>SUM(E189:I189)</x:f>
        <x:v>9</x:v>
      </x:c>
      <x:c r="K189" s="291" t="str">
        <x:v>8월</x:v>
      </x:c>
    </x:row>
    <x:row r="190">
      <x:c r="A190" s="291" t="str">
        <x:f>IF('초등학교+병설유치원(8월)'!A15="","",'초등학교+병설유치원(8월)'!A15)</x:f>
        <x:v>6-1</x:v>
      </x:c>
      <x:c r="B190" s="291" t="str">
        <x:v>병설유치원</x:v>
      </x:c>
      <x:c r="C190" s="291" t="str">
        <x:f>IF('초등학교+병설유치원(8월)'!B15="","",'초등학교+병설유치원(8월)'!B15)</x:f>
        <x:v>이리동남초 병설유치원</x:v>
      </x:c>
      <x:c r="D190" s="293" t="n">
        <x:v>46244</x:v>
      </x:c>
      <x:c r="E190" s="294" t="n">
        <x:f>IF('초등학교+병설유치원(8월)'!AU15="",0,'초등학교+병설유치원(8월)'!AU15)</x:f>
        <x:v>9</x:v>
      </x:c>
      <x:c r="F190" s="294" t="n">
        <x:f>IF('초등학교+병설유치원(8월)'!AV15="",0,'초등학교+병설유치원(8월)'!AV15)</x:f>
        <x:v>0</x:v>
      </x:c>
      <x:c r="G190" s="294" t="n">
        <x:f>IF('초등학교+병설유치원(8월)'!AW15="",0,'초등학교+병설유치원(8월)'!AW15)</x:f>
        <x:v>0</x:v>
      </x:c>
      <x:c r="H190" s="294" t="n">
        <x:f>IF('초등학교+병설유치원(8월)'!AX15="",0,'초등학교+병설유치원(8월)'!AX15)</x:f>
        <x:v>0</x:v>
      </x:c>
      <x:c r="I190" s="294" t="n">
        <x:f>IF('초등학교+병설유치원(8월)'!AY15="",0,'초등학교+병설유치원(8월)'!AY15)</x:f>
        <x:v>0</x:v>
      </x:c>
      <x:c r="J190" s="296" t="n">
        <x:f>SUM(E190:I190)</x:f>
        <x:v>9</x:v>
      </x:c>
      <x:c r="K190" s="291" t="str">
        <x:v>8월</x:v>
      </x:c>
    </x:row>
    <x:row r="191">
      <x:c r="A191" s="291" t="str">
        <x:f>IF('초등학교+병설유치원(8월)'!A15="","",'초등학교+병설유치원(8월)'!A15)</x:f>
        <x:v>6-1</x:v>
      </x:c>
      <x:c r="B191" s="291" t="str">
        <x:v>병설유치원</x:v>
      </x:c>
      <x:c r="C191" s="291" t="str">
        <x:f>IF('초등학교+병설유치원(8월)'!B15="","",'초등학교+병설유치원(8월)'!B15)</x:f>
        <x:v>이리동남초 병설유치원</x:v>
      </x:c>
      <x:c r="D191" s="293" t="n">
        <x:v>46245</x:v>
      </x:c>
      <x:c r="E191" s="294" t="n">
        <x:f>IF('초등학교+병설유치원(8월)'!BA15="",0,'초등학교+병설유치원(8월)'!BA15)</x:f>
        <x:v>9</x:v>
      </x:c>
      <x:c r="F191" s="294" t="n">
        <x:f>IF('초등학교+병설유치원(8월)'!BB15="",0,'초등학교+병설유치원(8월)'!BB15)</x:f>
        <x:v>0</x:v>
      </x:c>
      <x:c r="G191" s="294" t="n">
        <x:f>IF('초등학교+병설유치원(8월)'!BC15="",0,'초등학교+병설유치원(8월)'!BC15)</x:f>
        <x:v>0</x:v>
      </x:c>
      <x:c r="H191" s="294" t="n">
        <x:f>IF('초등학교+병설유치원(8월)'!BD15="",0,'초등학교+병설유치원(8월)'!BD15)</x:f>
        <x:v>0</x:v>
      </x:c>
      <x:c r="I191" s="294" t="n">
        <x:f>IF('초등학교+병설유치원(8월)'!BE15="",0,'초등학교+병설유치원(8월)'!BE15)</x:f>
        <x:v>0</x:v>
      </x:c>
      <x:c r="J191" s="296" t="n">
        <x:f>SUM(E191:I191)</x:f>
        <x:v>9</x:v>
      </x:c>
      <x:c r="K191" s="291" t="str">
        <x:v>8월</x:v>
      </x:c>
    </x:row>
    <x:row r="192">
      <x:c r="A192" s="291" t="str">
        <x:f>IF('초등학교+병설유치원(8월)'!A15="","",'초등학교+병설유치원(8월)'!A15)</x:f>
        <x:v>6-1</x:v>
      </x:c>
      <x:c r="B192" s="291" t="str">
        <x:v>병설유치원</x:v>
      </x:c>
      <x:c r="C192" s="291" t="str">
        <x:f>IF('초등학교+병설유치원(8월)'!B15="","",'초등학교+병설유치원(8월)'!B15)</x:f>
        <x:v>이리동남초 병설유치원</x:v>
      </x:c>
      <x:c r="D192" s="293" t="n">
        <x:v>46246</x:v>
      </x:c>
      <x:c r="E192" s="294" t="n">
        <x:f>IF('초등학교+병설유치원(8월)'!BG15="",0,'초등학교+병설유치원(8월)'!BG15)</x:f>
        <x:v>9</x:v>
      </x:c>
      <x:c r="F192" s="294" t="n">
        <x:f>IF('초등학교+병설유치원(8월)'!BH15="",0,'초등학교+병설유치원(8월)'!BH15)</x:f>
        <x:v>0</x:v>
      </x:c>
      <x:c r="G192" s="294" t="n">
        <x:f>IF('초등학교+병설유치원(8월)'!BI15="",0,'초등학교+병설유치원(8월)'!BI15)</x:f>
        <x:v>0</x:v>
      </x:c>
      <x:c r="H192" s="294" t="n">
        <x:f>IF('초등학교+병설유치원(8월)'!BJ15="",0,'초등학교+병설유치원(8월)'!BJ15)</x:f>
        <x:v>0</x:v>
      </x:c>
      <x:c r="I192" s="294" t="n">
        <x:f>IF('초등학교+병설유치원(8월)'!BK15="",0,'초등학교+병설유치원(8월)'!BK15)</x:f>
        <x:v>0</x:v>
      </x:c>
      <x:c r="J192" s="296" t="n">
        <x:f>SUM(E192:I192)</x:f>
        <x:v>9</x:v>
      </x:c>
      <x:c r="K192" s="291" t="str">
        <x:v>8월</x:v>
      </x:c>
    </x:row>
    <x:row r="193">
      <x:c r="A193" s="291" t="str">
        <x:f>IF('초등학교+병설유치원(8월)'!A15="","",'초등학교+병설유치원(8월)'!A15)</x:f>
        <x:v>6-1</x:v>
      </x:c>
      <x:c r="B193" s="291" t="str">
        <x:v>병설유치원</x:v>
      </x:c>
      <x:c r="C193" s="291" t="str">
        <x:f>IF('초등학교+병설유치원(8월)'!B15="","",'초등학교+병설유치원(8월)'!B15)</x:f>
        <x:v>이리동남초 병설유치원</x:v>
      </x:c>
      <x:c r="D193" s="293" t="n">
        <x:v>46247</x:v>
      </x:c>
      <x:c r="E193" s="294" t="n">
        <x:f>IF('초등학교+병설유치원(8월)'!BM15="",0,'초등학교+병설유치원(8월)'!BM15)</x:f>
        <x:v>9</x:v>
      </x:c>
      <x:c r="F193" s="294" t="n">
        <x:f>IF('초등학교+병설유치원(8월)'!BN15="",0,'초등학교+병설유치원(8월)'!BN15)</x:f>
        <x:v>0</x:v>
      </x:c>
      <x:c r="G193" s="294" t="n">
        <x:f>IF('초등학교+병설유치원(8월)'!BO15="",0,'초등학교+병설유치원(8월)'!BO15)</x:f>
        <x:v>0</x:v>
      </x:c>
      <x:c r="H193" s="294" t="n">
        <x:f>IF('초등학교+병설유치원(8월)'!BP15="",0,'초등학교+병설유치원(8월)'!BP15)</x:f>
        <x:v>0</x:v>
      </x:c>
      <x:c r="I193" s="294" t="n">
        <x:f>IF('초등학교+병설유치원(8월)'!BQ15="",0,'초등학교+병설유치원(8월)'!BQ15)</x:f>
        <x:v>0</x:v>
      </x:c>
      <x:c r="J193" s="296" t="n">
        <x:f>SUM(E193:I193)</x:f>
        <x:v>9</x:v>
      </x:c>
      <x:c r="K193" s="291" t="str">
        <x:v>8월</x:v>
      </x:c>
    </x:row>
    <x:row r="194">
      <x:c r="A194" s="291" t="str">
        <x:f>IF('초등학교+병설유치원(8월)'!A15="","",'초등학교+병설유치원(8월)'!A15)</x:f>
        <x:v>6-1</x:v>
      </x:c>
      <x:c r="B194" s="291" t="str">
        <x:v>병설유치원</x:v>
      </x:c>
      <x:c r="C194" s="291" t="str">
        <x:f>IF('초등학교+병설유치원(8월)'!B15="","",'초등학교+병설유치원(8월)'!B15)</x:f>
        <x:v>이리동남초 병설유치원</x:v>
      </x:c>
      <x:c r="D194" s="293" t="n">
        <x:v>46248</x:v>
      </x:c>
      <x:c r="E194" s="294" t="n">
        <x:f>IF('초등학교+병설유치원(8월)'!BS15="",0,'초등학교+병설유치원(8월)'!BS15)</x:f>
        <x:v>9</x:v>
      </x:c>
      <x:c r="F194" s="294" t="n">
        <x:f>IF('초등학교+병설유치원(8월)'!BT15="",0,'초등학교+병설유치원(8월)'!BT15)</x:f>
        <x:v>0</x:v>
      </x:c>
      <x:c r="G194" s="294" t="n">
        <x:f>IF('초등학교+병설유치원(8월)'!BU15="",0,'초등학교+병설유치원(8월)'!BU15)</x:f>
        <x:v>0</x:v>
      </x:c>
      <x:c r="H194" s="294" t="n">
        <x:f>IF('초등학교+병설유치원(8월)'!BV15="",0,'초등학교+병설유치원(8월)'!BV15)</x:f>
        <x:v>0</x:v>
      </x:c>
      <x:c r="I194" s="294" t="n">
        <x:f>IF('초등학교+병설유치원(8월)'!BW15="",0,'초등학교+병설유치원(8월)'!BW15)</x:f>
        <x:v>0</x:v>
      </x:c>
      <x:c r="J194" s="296" t="n">
        <x:f>SUM(E194:I194)</x:f>
        <x:v>9</x:v>
      </x:c>
      <x:c r="K194" s="291" t="str">
        <x:v>8월</x:v>
      </x:c>
    </x:row>
    <x:row r="195">
      <x:c r="A195" s="291" t="str">
        <x:f>IF('초등학교+병설유치원(8월)'!A15="","",'초등학교+병설유치원(8월)'!A15)</x:f>
        <x:v>6-1</x:v>
      </x:c>
      <x:c r="B195" s="291" t="str">
        <x:v>병설유치원</x:v>
      </x:c>
      <x:c r="C195" s="291" t="str">
        <x:f>IF('초등학교+병설유치원(8월)'!B15="","",'초등학교+병설유치원(8월)'!B15)</x:f>
        <x:v>이리동남초 병설유치원</x:v>
      </x:c>
      <x:c r="D195" s="293" t="n">
        <x:v>46252</x:v>
      </x:c>
      <x:c r="E195" s="294" t="n">
        <x:f>IF('초등학교+병설유치원(8월)'!BY15="",0,'초등학교+병설유치원(8월)'!BY15)</x:f>
        <x:v>9</x:v>
      </x:c>
      <x:c r="F195" s="294" t="n">
        <x:f>IF('초등학교+병설유치원(8월)'!BZ15="",0,'초등학교+병설유치원(8월)'!BZ15)</x:f>
        <x:v>0</x:v>
      </x:c>
      <x:c r="G195" s="294" t="n">
        <x:f>IF('초등학교+병설유치원(8월)'!CA15="",0,'초등학교+병설유치원(8월)'!CA15)</x:f>
        <x:v>0</x:v>
      </x:c>
      <x:c r="H195" s="294" t="n">
        <x:f>IF('초등학교+병설유치원(8월)'!CB15="",0,'초등학교+병설유치원(8월)'!CB15)</x:f>
        <x:v>0</x:v>
      </x:c>
      <x:c r="I195" s="294" t="n">
        <x:f>IF('초등학교+병설유치원(8월)'!CC15="",0,'초등학교+병설유치원(8월)'!CC15)</x:f>
        <x:v>0</x:v>
      </x:c>
      <x:c r="J195" s="296" t="n">
        <x:f>SUM(E195:I195)</x:f>
        <x:v>9</x:v>
      </x:c>
      <x:c r="K195" s="291" t="str">
        <x:v>8월</x:v>
      </x:c>
    </x:row>
    <x:row r="196">
      <x:c r="A196" s="291" t="str">
        <x:f>IF('초등학교+병설유치원(8월)'!A15="","",'초등학교+병설유치원(8월)'!A15)</x:f>
        <x:v>6-1</x:v>
      </x:c>
      <x:c r="B196" s="291" t="str">
        <x:v>병설유치원</x:v>
      </x:c>
      <x:c r="C196" s="291" t="str">
        <x:f>IF('초등학교+병설유치원(8월)'!B15="","",'초등학교+병설유치원(8월)'!B15)</x:f>
        <x:v>이리동남초 병설유치원</x:v>
      </x:c>
      <x:c r="D196" s="293" t="n">
        <x:v>46253</x:v>
      </x:c>
      <x:c r="E196" s="294" t="n">
        <x:f>IF('초등학교+병설유치원(8월)'!CE15="",0,'초등학교+병설유치원(8월)'!CE15)</x:f>
        <x:v>9</x:v>
      </x:c>
      <x:c r="F196" s="294" t="n">
        <x:f>IF('초등학교+병설유치원(8월)'!CF15="",0,'초등학교+병설유치원(8월)'!CF15)</x:f>
        <x:v>0</x:v>
      </x:c>
      <x:c r="G196" s="294" t="n">
        <x:f>IF('초등학교+병설유치원(8월)'!CG15="",0,'초등학교+병설유치원(8월)'!CG15)</x:f>
        <x:v>0</x:v>
      </x:c>
      <x:c r="H196" s="294" t="n">
        <x:f>IF('초등학교+병설유치원(8월)'!CH15="",0,'초등학교+병설유치원(8월)'!CH15)</x:f>
        <x:v>0</x:v>
      </x:c>
      <x:c r="I196" s="294" t="n">
        <x:f>IF('초등학교+병설유치원(8월)'!CI15="",0,'초등학교+병설유치원(8월)'!CI15)</x:f>
        <x:v>0</x:v>
      </x:c>
      <x:c r="J196" s="296" t="n">
        <x:f>SUM(E196:I196)</x:f>
        <x:v>9</x:v>
      </x:c>
      <x:c r="K196" s="291" t="str">
        <x:v>8월</x:v>
      </x:c>
    </x:row>
    <x:row r="197">
      <x:c r="A197" s="291" t="str">
        <x:f>IF('초등학교+병설유치원(8월)'!A15="","",'초등학교+병설유치원(8월)'!A15)</x:f>
        <x:v>6-1</x:v>
      </x:c>
      <x:c r="B197" s="291" t="str">
        <x:v>병설유치원</x:v>
      </x:c>
      <x:c r="C197" s="291" t="str">
        <x:f>IF('초등학교+병설유치원(8월)'!B15="","",'초등학교+병설유치원(8월)'!B15)</x:f>
        <x:v>이리동남초 병설유치원</x:v>
      </x:c>
      <x:c r="D197" s="293" t="n">
        <x:v>46254</x:v>
      </x:c>
      <x:c r="E197" s="294" t="n">
        <x:f>IF('초등학교+병설유치원(8월)'!CK15="",0,'초등학교+병설유치원(8월)'!CK15)</x:f>
        <x:v>9</x:v>
      </x:c>
      <x:c r="F197" s="294" t="n">
        <x:f>IF('초등학교+병설유치원(8월)'!CL15="",0,'초등학교+병설유치원(8월)'!CL15)</x:f>
        <x:v>0</x:v>
      </x:c>
      <x:c r="G197" s="294" t="n">
        <x:f>IF('초등학교+병설유치원(8월)'!CM15="",0,'초등학교+병설유치원(8월)'!CM15)</x:f>
        <x:v>0</x:v>
      </x:c>
      <x:c r="H197" s="294" t="n">
        <x:f>IF('초등학교+병설유치원(8월)'!CN15="",0,'초등학교+병설유치원(8월)'!CN15)</x:f>
        <x:v>0</x:v>
      </x:c>
      <x:c r="I197" s="294" t="n">
        <x:f>IF('초등학교+병설유치원(8월)'!CO15="",0,'초등학교+병설유치원(8월)'!CO15)</x:f>
        <x:v>0</x:v>
      </x:c>
      <x:c r="J197" s="296" t="n">
        <x:f>SUM(E197:I197)</x:f>
        <x:v>9</x:v>
      </x:c>
      <x:c r="K197" s="291" t="str">
        <x:v>8월</x:v>
      </x:c>
    </x:row>
    <x:row r="198">
      <x:c r="A198" s="291" t="n">
        <x:f>IF('초등학교+병설유치원(8월)'!A16="","",'초등학교+병설유치원(8월)'!A16)</x:f>
        <x:v>7</x:v>
      </x:c>
      <x:c r="B198" s="291" t="str">
        <x:v>초등학교</x:v>
      </x:c>
      <x:c r="C198" s="291" t="str">
        <x:f>IF('초등학교+병설유치원(8월)'!B16="","",'초등학교+병설유치원(8월)'!B16)</x:f>
        <x:v>이리동북초</x:v>
      </x:c>
      <x:c r="D198" s="293" t="n">
        <x:v>46237</x:v>
      </x:c>
      <x:c r="E198" s="294" t="n">
        <x:f>IF('초등학교+병설유치원(8월)'!Q16="",0,'초등학교+병설유치원(8월)'!Q16)</x:f>
        <x:v>23</x:v>
      </x:c>
      <x:c r="F198" s="294" t="n">
        <x:f>IF('초등학교+병설유치원(8월)'!R16="",0,'초등학교+병설유치원(8월)'!R16)</x:f>
        <x:v>0</x:v>
      </x:c>
      <x:c r="G198" s="294" t="n">
        <x:f>IF('초등학교+병설유치원(8월)'!S16="",0,'초등학교+병설유치원(8월)'!S16)</x:f>
        <x:v>0</x:v>
      </x:c>
      <x:c r="H198" s="294" t="n">
        <x:f>IF('초등학교+병설유치원(8월)'!T16="",0,'초등학교+병설유치원(8월)'!T16)</x:f>
        <x:v>0</x:v>
      </x:c>
      <x:c r="I198" s="294" t="n">
        <x:f>IF('초등학교+병설유치원(8월)'!U16="",0,'초등학교+병설유치원(8월)'!U16)</x:f>
        <x:v>0</x:v>
      </x:c>
      <x:c r="J198" s="296" t="n">
        <x:f>SUM(E198:I198)</x:f>
        <x:v>23</x:v>
      </x:c>
      <x:c r="K198" s="291" t="str">
        <x:v>8월</x:v>
      </x:c>
    </x:row>
    <x:row r="199">
      <x:c r="A199" s="291" t="n">
        <x:f>IF('초등학교+병설유치원(8월)'!A16="","",'초등학교+병설유치원(8월)'!A16)</x:f>
        <x:v>7</x:v>
      </x:c>
      <x:c r="B199" s="291" t="str">
        <x:v>초등학교</x:v>
      </x:c>
      <x:c r="C199" s="291" t="str">
        <x:f>IF('초등학교+병설유치원(8월)'!B16="","",'초등학교+병설유치원(8월)'!B16)</x:f>
        <x:v>이리동북초</x:v>
      </x:c>
      <x:c r="D199" s="293" t="n">
        <x:v>46238</x:v>
      </x:c>
      <x:c r="E199" s="294" t="n">
        <x:f>IF('초등학교+병설유치원(8월)'!W16="",0,'초등학교+병설유치원(8월)'!W16)</x:f>
        <x:v>23</x:v>
      </x:c>
      <x:c r="F199" s="294" t="n">
        <x:f>IF('초등학교+병설유치원(8월)'!X16="",0,'초등학교+병설유치원(8월)'!X16)</x:f>
        <x:v>0</x:v>
      </x:c>
      <x:c r="G199" s="294" t="n">
        <x:f>IF('초등학교+병설유치원(8월)'!Y16="",0,'초등학교+병설유치원(8월)'!Y16)</x:f>
        <x:v>0</x:v>
      </x:c>
      <x:c r="H199" s="294" t="n">
        <x:f>IF('초등학교+병설유치원(8월)'!Z16="",0,'초등학교+병설유치원(8월)'!Z16)</x:f>
        <x:v>0</x:v>
      </x:c>
      <x:c r="I199" s="294" t="n">
        <x:f>IF('초등학교+병설유치원(8월)'!AA16="",0,'초등학교+병설유치원(8월)'!AA16)</x:f>
        <x:v>0</x:v>
      </x:c>
      <x:c r="J199" s="296" t="n">
        <x:f>SUM(E199:I199)</x:f>
        <x:v>23</x:v>
      </x:c>
      <x:c r="K199" s="291" t="str">
        <x:v>8월</x:v>
      </x:c>
    </x:row>
    <x:row r="200">
      <x:c r="A200" s="291" t="n">
        <x:f>IF('초등학교+병설유치원(8월)'!A16="","",'초등학교+병설유치원(8월)'!A16)</x:f>
        <x:v>7</x:v>
      </x:c>
      <x:c r="B200" s="291" t="str">
        <x:v>초등학교</x:v>
      </x:c>
      <x:c r="C200" s="291" t="str">
        <x:f>IF('초등학교+병설유치원(8월)'!B16="","",'초등학교+병설유치원(8월)'!B16)</x:f>
        <x:v>이리동북초</x:v>
      </x:c>
      <x:c r="D200" s="293" t="n">
        <x:v>46239</x:v>
      </x:c>
      <x:c r="E200" s="294" t="n">
        <x:f>IF('초등학교+병설유치원(8월)'!AC16="",0,'초등학교+병설유치원(8월)'!AC16)</x:f>
        <x:v>23</x:v>
      </x:c>
      <x:c r="F200" s="294" t="n">
        <x:f>IF('초등학교+병설유치원(8월)'!AD16="",0,'초등학교+병설유치원(8월)'!AD16)</x:f>
        <x:v>0</x:v>
      </x:c>
      <x:c r="G200" s="294" t="n">
        <x:f>IF('초등학교+병설유치원(8월)'!AE16="",0,'초등학교+병설유치원(8월)'!AE16)</x:f>
        <x:v>0</x:v>
      </x:c>
      <x:c r="H200" s="294" t="n">
        <x:f>IF('초등학교+병설유치원(8월)'!AF16="",0,'초등학교+병설유치원(8월)'!AF16)</x:f>
        <x:v>0</x:v>
      </x:c>
      <x:c r="I200" s="294" t="n">
        <x:f>IF('초등학교+병설유치원(8월)'!AG16="",0,'초등학교+병설유치원(8월)'!AG16)</x:f>
        <x:v>0</x:v>
      </x:c>
      <x:c r="J200" s="296" t="n">
        <x:f>SUM(E200:I200)</x:f>
        <x:v>23</x:v>
      </x:c>
      <x:c r="K200" s="291" t="str">
        <x:v>8월</x:v>
      </x:c>
    </x:row>
    <x:row r="201">
      <x:c r="A201" s="291" t="n">
        <x:f>IF('초등학교+병설유치원(8월)'!A16="","",'초등학교+병설유치원(8월)'!A16)</x:f>
        <x:v>7</x:v>
      </x:c>
      <x:c r="B201" s="291" t="str">
        <x:v>초등학교</x:v>
      </x:c>
      <x:c r="C201" s="291" t="str">
        <x:f>IF('초등학교+병설유치원(8월)'!B16="","",'초등학교+병설유치원(8월)'!B16)</x:f>
        <x:v>이리동북초</x:v>
      </x:c>
      <x:c r="D201" s="293" t="n">
        <x:v>46240</x:v>
      </x:c>
      <x:c r="E201" s="294" t="n">
        <x:f>IF('초등학교+병설유치원(8월)'!AI16="",0,'초등학교+병설유치원(8월)'!AI16)</x:f>
        <x:v>23</x:v>
      </x:c>
      <x:c r="F201" s="294" t="n">
        <x:f>IF('초등학교+병설유치원(8월)'!AJ16="",0,'초등학교+병설유치원(8월)'!AJ16)</x:f>
        <x:v>0</x:v>
      </x:c>
      <x:c r="G201" s="294" t="n">
        <x:f>IF('초등학교+병설유치원(8월)'!AK16="",0,'초등학교+병설유치원(8월)'!AK16)</x:f>
        <x:v>0</x:v>
      </x:c>
      <x:c r="H201" s="294" t="n">
        <x:f>IF('초등학교+병설유치원(8월)'!AL16="",0,'초등학교+병설유치원(8월)'!AL16)</x:f>
        <x:v>0</x:v>
      </x:c>
      <x:c r="I201" s="294" t="n">
        <x:f>IF('초등학교+병설유치원(8월)'!AM16="",0,'초등학교+병설유치원(8월)'!AM16)</x:f>
        <x:v>0</x:v>
      </x:c>
      <x:c r="J201" s="296" t="n">
        <x:f>SUM(E201:I201)</x:f>
        <x:v>23</x:v>
      </x:c>
      <x:c r="K201" s="291" t="str">
        <x:v>8월</x:v>
      </x:c>
    </x:row>
    <x:row r="202">
      <x:c r="A202" s="291" t="n">
        <x:f>IF('초등학교+병설유치원(8월)'!A16="","",'초등학교+병설유치원(8월)'!A16)</x:f>
        <x:v>7</x:v>
      </x:c>
      <x:c r="B202" s="291" t="str">
        <x:v>초등학교</x:v>
      </x:c>
      <x:c r="C202" s="291" t="str">
        <x:f>IF('초등학교+병설유치원(8월)'!B16="","",'초등학교+병설유치원(8월)'!B16)</x:f>
        <x:v>이리동북초</x:v>
      </x:c>
      <x:c r="D202" s="293" t="n">
        <x:v>46241</x:v>
      </x:c>
      <x:c r="E202" s="294" t="n">
        <x:f>IF('초등학교+병설유치원(8월)'!AO16="",0,'초등학교+병설유치원(8월)'!AO16)</x:f>
        <x:v>23</x:v>
      </x:c>
      <x:c r="F202" s="294" t="n">
        <x:f>IF('초등학교+병설유치원(8월)'!AP16="",0,'초등학교+병설유치원(8월)'!AP16)</x:f>
        <x:v>0</x:v>
      </x:c>
      <x:c r="G202" s="294" t="n">
        <x:f>IF('초등학교+병설유치원(8월)'!AQ16="",0,'초등학교+병설유치원(8월)'!AQ16)</x:f>
        <x:v>0</x:v>
      </x:c>
      <x:c r="H202" s="294" t="n">
        <x:f>IF('초등학교+병설유치원(8월)'!AR16="",0,'초등학교+병설유치원(8월)'!AR16)</x:f>
        <x:v>0</x:v>
      </x:c>
      <x:c r="I202" s="294" t="n">
        <x:f>IF('초등학교+병설유치원(8월)'!AS16="",0,'초등학교+병설유치원(8월)'!AS16)</x:f>
        <x:v>0</x:v>
      </x:c>
      <x:c r="J202" s="296" t="n">
        <x:f>SUM(E202:I202)</x:f>
        <x:v>23</x:v>
      </x:c>
      <x:c r="K202" s="291" t="str">
        <x:v>8월</x:v>
      </x:c>
    </x:row>
    <x:row r="203">
      <x:c r="A203" s="291" t="n">
        <x:f>IF('초등학교+병설유치원(8월)'!A16="","",'초등학교+병설유치원(8월)'!A16)</x:f>
        <x:v>7</x:v>
      </x:c>
      <x:c r="B203" s="291" t="str">
        <x:v>초등학교</x:v>
      </x:c>
      <x:c r="C203" s="291" t="str">
        <x:f>IF('초등학교+병설유치원(8월)'!B16="","",'초등학교+병설유치원(8월)'!B16)</x:f>
        <x:v>이리동북초</x:v>
      </x:c>
      <x:c r="D203" s="293" t="n">
        <x:v>46244</x:v>
      </x:c>
      <x:c r="E203" s="294" t="n">
        <x:f>IF('초등학교+병설유치원(8월)'!AU16="",0,'초등학교+병설유치원(8월)'!AU16)</x:f>
        <x:v>23</x:v>
      </x:c>
      <x:c r="F203" s="294" t="n">
        <x:f>IF('초등학교+병설유치원(8월)'!AV16="",0,'초등학교+병설유치원(8월)'!AV16)</x:f>
        <x:v>0</x:v>
      </x:c>
      <x:c r="G203" s="294" t="n">
        <x:f>IF('초등학교+병설유치원(8월)'!AW16="",0,'초등학교+병설유치원(8월)'!AW16)</x:f>
        <x:v>0</x:v>
      </x:c>
      <x:c r="H203" s="294" t="n">
        <x:f>IF('초등학교+병설유치원(8월)'!AX16="",0,'초등학교+병설유치원(8월)'!AX16)</x:f>
        <x:v>0</x:v>
      </x:c>
      <x:c r="I203" s="294" t="n">
        <x:f>IF('초등학교+병설유치원(8월)'!AY16="",0,'초등학교+병설유치원(8월)'!AY16)</x:f>
        <x:v>0</x:v>
      </x:c>
      <x:c r="J203" s="296" t="n">
        <x:f>SUM(E203:I203)</x:f>
        <x:v>23</x:v>
      </x:c>
      <x:c r="K203" s="291" t="str">
        <x:v>8월</x:v>
      </x:c>
    </x:row>
    <x:row r="204">
      <x:c r="A204" s="291" t="n">
        <x:f>IF('초등학교+병설유치원(8월)'!A16="","",'초등학교+병설유치원(8월)'!A16)</x:f>
        <x:v>7</x:v>
      </x:c>
      <x:c r="B204" s="291" t="str">
        <x:v>초등학교</x:v>
      </x:c>
      <x:c r="C204" s="291" t="str">
        <x:f>IF('초등학교+병설유치원(8월)'!B16="","",'초등학교+병설유치원(8월)'!B16)</x:f>
        <x:v>이리동북초</x:v>
      </x:c>
      <x:c r="D204" s="293" t="n">
        <x:v>46245</x:v>
      </x:c>
      <x:c r="E204" s="294" t="n">
        <x:f>IF('초등학교+병설유치원(8월)'!BA16="",0,'초등학교+병설유치원(8월)'!BA16)</x:f>
        <x:v>23</x:v>
      </x:c>
      <x:c r="F204" s="294" t="n">
        <x:f>IF('초등학교+병설유치원(8월)'!BB16="",0,'초등학교+병설유치원(8월)'!BB16)</x:f>
        <x:v>0</x:v>
      </x:c>
      <x:c r="G204" s="294" t="n">
        <x:f>IF('초등학교+병설유치원(8월)'!BC16="",0,'초등학교+병설유치원(8월)'!BC16)</x:f>
        <x:v>0</x:v>
      </x:c>
      <x:c r="H204" s="294" t="n">
        <x:f>IF('초등학교+병설유치원(8월)'!BD16="",0,'초등학교+병설유치원(8월)'!BD16)</x:f>
        <x:v>0</x:v>
      </x:c>
      <x:c r="I204" s="294" t="n">
        <x:f>IF('초등학교+병설유치원(8월)'!BE16="",0,'초등학교+병설유치원(8월)'!BE16)</x:f>
        <x:v>0</x:v>
      </x:c>
      <x:c r="J204" s="296" t="n">
        <x:f>SUM(E204:I204)</x:f>
        <x:v>23</x:v>
      </x:c>
      <x:c r="K204" s="291" t="str">
        <x:v>8월</x:v>
      </x:c>
    </x:row>
    <x:row r="205">
      <x:c r="A205" s="291" t="n">
        <x:f>IF('초등학교+병설유치원(8월)'!A16="","",'초등학교+병설유치원(8월)'!A16)</x:f>
        <x:v>7</x:v>
      </x:c>
      <x:c r="B205" s="291" t="str">
        <x:v>초등학교</x:v>
      </x:c>
      <x:c r="C205" s="291" t="str">
        <x:f>IF('초등학교+병설유치원(8월)'!B16="","",'초등학교+병설유치원(8월)'!B16)</x:f>
        <x:v>이리동북초</x:v>
      </x:c>
      <x:c r="D205" s="293" t="n">
        <x:v>46246</x:v>
      </x:c>
      <x:c r="E205" s="294" t="n">
        <x:f>IF('초등학교+병설유치원(8월)'!BG16="",0,'초등학교+병설유치원(8월)'!BG16)</x:f>
        <x:v>23</x:v>
      </x:c>
      <x:c r="F205" s="294" t="n">
        <x:f>IF('초등학교+병설유치원(8월)'!BH16="",0,'초등학교+병설유치원(8월)'!BH16)</x:f>
        <x:v>0</x:v>
      </x:c>
      <x:c r="G205" s="294" t="n">
        <x:f>IF('초등학교+병설유치원(8월)'!BI16="",0,'초등학교+병설유치원(8월)'!BI16)</x:f>
        <x:v>0</x:v>
      </x:c>
      <x:c r="H205" s="294" t="n">
        <x:f>IF('초등학교+병설유치원(8월)'!BJ16="",0,'초등학교+병설유치원(8월)'!BJ16)</x:f>
        <x:v>0</x:v>
      </x:c>
      <x:c r="I205" s="294" t="n">
        <x:f>IF('초등학교+병설유치원(8월)'!BK16="",0,'초등학교+병설유치원(8월)'!BK16)</x:f>
        <x:v>0</x:v>
      </x:c>
      <x:c r="J205" s="296" t="n">
        <x:f>SUM(E205:I205)</x:f>
        <x:v>23</x:v>
      </x:c>
      <x:c r="K205" s="291" t="str">
        <x:v>8월</x:v>
      </x:c>
    </x:row>
    <x:row r="206">
      <x:c r="A206" s="291" t="n">
        <x:f>IF('초등학교+병설유치원(8월)'!A16="","",'초등학교+병설유치원(8월)'!A16)</x:f>
        <x:v>7</x:v>
      </x:c>
      <x:c r="B206" s="291" t="str">
        <x:v>초등학교</x:v>
      </x:c>
      <x:c r="C206" s="291" t="str">
        <x:f>IF('초등학교+병설유치원(8월)'!B16="","",'초등학교+병설유치원(8월)'!B16)</x:f>
        <x:v>이리동북초</x:v>
      </x:c>
      <x:c r="D206" s="293" t="n">
        <x:v>46247</x:v>
      </x:c>
      <x:c r="E206" s="294" t="n">
        <x:f>IF('초등학교+병설유치원(8월)'!BM16="",0,'초등학교+병설유치원(8월)'!BM16)</x:f>
        <x:v>23</x:v>
      </x:c>
      <x:c r="F206" s="294" t="n">
        <x:f>IF('초등학교+병설유치원(8월)'!BN16="",0,'초등학교+병설유치원(8월)'!BN16)</x:f>
        <x:v>0</x:v>
      </x:c>
      <x:c r="G206" s="294" t="n">
        <x:f>IF('초등학교+병설유치원(8월)'!BO16="",0,'초등학교+병설유치원(8월)'!BO16)</x:f>
        <x:v>0</x:v>
      </x:c>
      <x:c r="H206" s="294" t="n">
        <x:f>IF('초등학교+병설유치원(8월)'!BP16="",0,'초등학교+병설유치원(8월)'!BP16)</x:f>
        <x:v>0</x:v>
      </x:c>
      <x:c r="I206" s="294" t="n">
        <x:f>IF('초등학교+병설유치원(8월)'!BQ16="",0,'초등학교+병설유치원(8월)'!BQ16)</x:f>
        <x:v>0</x:v>
      </x:c>
      <x:c r="J206" s="296" t="n">
        <x:f>SUM(E206:I206)</x:f>
        <x:v>23</x:v>
      </x:c>
      <x:c r="K206" s="291" t="str">
        <x:v>8월</x:v>
      </x:c>
    </x:row>
    <x:row r="207">
      <x:c r="A207" s="291" t="n">
        <x:f>IF('초등학교+병설유치원(8월)'!A16="","",'초등학교+병설유치원(8월)'!A16)</x:f>
        <x:v>7</x:v>
      </x:c>
      <x:c r="B207" s="291" t="str">
        <x:v>초등학교</x:v>
      </x:c>
      <x:c r="C207" s="291" t="str">
        <x:f>IF('초등학교+병설유치원(8월)'!B16="","",'초등학교+병설유치원(8월)'!B16)</x:f>
        <x:v>이리동북초</x:v>
      </x:c>
      <x:c r="D207" s="293" t="n">
        <x:v>46248</x:v>
      </x:c>
      <x:c r="E207" s="294" t="n">
        <x:f>IF('초등학교+병설유치원(8월)'!BS16="",0,'초등학교+병설유치원(8월)'!BS16)</x:f>
        <x:v>23</x:v>
      </x:c>
      <x:c r="F207" s="294" t="n">
        <x:f>IF('초등학교+병설유치원(8월)'!BT16="",0,'초등학교+병설유치원(8월)'!BT16)</x:f>
        <x:v>0</x:v>
      </x:c>
      <x:c r="G207" s="294" t="n">
        <x:f>IF('초등학교+병설유치원(8월)'!BU16="",0,'초등학교+병설유치원(8월)'!BU16)</x:f>
        <x:v>0</x:v>
      </x:c>
      <x:c r="H207" s="294" t="n">
        <x:f>IF('초등학교+병설유치원(8월)'!BV16="",0,'초등학교+병설유치원(8월)'!BV16)</x:f>
        <x:v>0</x:v>
      </x:c>
      <x:c r="I207" s="294" t="n">
        <x:f>IF('초등학교+병설유치원(8월)'!BW16="",0,'초등학교+병설유치원(8월)'!BW16)</x:f>
        <x:v>0</x:v>
      </x:c>
      <x:c r="J207" s="296" t="n">
        <x:f>SUM(E207:I207)</x:f>
        <x:v>23</x:v>
      </x:c>
      <x:c r="K207" s="291" t="str">
        <x:v>8월</x:v>
      </x:c>
    </x:row>
    <x:row r="208">
      <x:c r="A208" s="291" t="n">
        <x:f>IF('초등학교+병설유치원(8월)'!A16="","",'초등학교+병설유치원(8월)'!A16)</x:f>
        <x:v>7</x:v>
      </x:c>
      <x:c r="B208" s="291" t="str">
        <x:v>초등학교</x:v>
      </x:c>
      <x:c r="C208" s="291" t="str">
        <x:f>IF('초등학교+병설유치원(8월)'!B16="","",'초등학교+병설유치원(8월)'!B16)</x:f>
        <x:v>이리동북초</x:v>
      </x:c>
      <x:c r="D208" s="293" t="n">
        <x:v>46252</x:v>
      </x:c>
      <x:c r="E208" s="294" t="n">
        <x:f>IF('초등학교+병설유치원(8월)'!BY16="",0,'초등학교+병설유치원(8월)'!BY16)</x:f>
        <x:v>23</x:v>
      </x:c>
      <x:c r="F208" s="294" t="n">
        <x:f>IF('초등학교+병설유치원(8월)'!BZ16="",0,'초등학교+병설유치원(8월)'!BZ16)</x:f>
        <x:v>0</x:v>
      </x:c>
      <x:c r="G208" s="294" t="n">
        <x:f>IF('초등학교+병설유치원(8월)'!CA16="",0,'초등학교+병설유치원(8월)'!CA16)</x:f>
        <x:v>0</x:v>
      </x:c>
      <x:c r="H208" s="294" t="n">
        <x:f>IF('초등학교+병설유치원(8월)'!CB16="",0,'초등학교+병설유치원(8월)'!CB16)</x:f>
        <x:v>0</x:v>
      </x:c>
      <x:c r="I208" s="294" t="n">
        <x:f>IF('초등학교+병설유치원(8월)'!CC16="",0,'초등학교+병설유치원(8월)'!CC16)</x:f>
        <x:v>0</x:v>
      </x:c>
      <x:c r="J208" s="296" t="n">
        <x:f>SUM(E208:I208)</x:f>
        <x:v>23</x:v>
      </x:c>
      <x:c r="K208" s="291" t="str">
        <x:v>8월</x:v>
      </x:c>
    </x:row>
    <x:row r="209">
      <x:c r="A209" s="291" t="n">
        <x:f>IF('초등학교+병설유치원(8월)'!A16="","",'초등학교+병설유치원(8월)'!A16)</x:f>
        <x:v>7</x:v>
      </x:c>
      <x:c r="B209" s="291" t="str">
        <x:v>초등학교</x:v>
      </x:c>
      <x:c r="C209" s="291" t="str">
        <x:f>IF('초등학교+병설유치원(8월)'!B16="","",'초등학교+병설유치원(8월)'!B16)</x:f>
        <x:v>이리동북초</x:v>
      </x:c>
      <x:c r="D209" s="293" t="n">
        <x:v>46253</x:v>
      </x:c>
      <x:c r="E209" s="294" t="n">
        <x:f>IF('초등학교+병설유치원(8월)'!CE16="",0,'초등학교+병설유치원(8월)'!CE16)</x:f>
        <x:v>23</x:v>
      </x:c>
      <x:c r="F209" s="294" t="n">
        <x:f>IF('초등학교+병설유치원(8월)'!CF16="",0,'초등학교+병설유치원(8월)'!CF16)</x:f>
        <x:v>0</x:v>
      </x:c>
      <x:c r="G209" s="294" t="n">
        <x:f>IF('초등학교+병설유치원(8월)'!CG16="",0,'초등학교+병설유치원(8월)'!CG16)</x:f>
        <x:v>0</x:v>
      </x:c>
      <x:c r="H209" s="294" t="n">
        <x:f>IF('초등학교+병설유치원(8월)'!CH16="",0,'초등학교+병설유치원(8월)'!CH16)</x:f>
        <x:v>0</x:v>
      </x:c>
      <x:c r="I209" s="294" t="n">
        <x:f>IF('초등학교+병설유치원(8월)'!CI16="",0,'초등학교+병설유치원(8월)'!CI16)</x:f>
        <x:v>0</x:v>
      </x:c>
      <x:c r="J209" s="296" t="n">
        <x:f>SUM(E209:I209)</x:f>
        <x:v>23</x:v>
      </x:c>
      <x:c r="K209" s="291" t="str">
        <x:v>8월</x:v>
      </x:c>
    </x:row>
    <x:row r="210">
      <x:c r="A210" s="291" t="n">
        <x:f>IF('초등학교+병설유치원(8월)'!A16="","",'초등학교+병설유치원(8월)'!A16)</x:f>
        <x:v>7</x:v>
      </x:c>
      <x:c r="B210" s="291" t="str">
        <x:v>초등학교</x:v>
      </x:c>
      <x:c r="C210" s="291" t="str">
        <x:f>IF('초등학교+병설유치원(8월)'!B16="","",'초등학교+병설유치원(8월)'!B16)</x:f>
        <x:v>이리동북초</x:v>
      </x:c>
      <x:c r="D210" s="293" t="n">
        <x:v>46254</x:v>
      </x:c>
      <x:c r="E210" s="294" t="n">
        <x:f>IF('초등학교+병설유치원(8월)'!CK16="",0,'초등학교+병설유치원(8월)'!CK16)</x:f>
        <x:v>23</x:v>
      </x:c>
      <x:c r="F210" s="294" t="n">
        <x:f>IF('초등학교+병설유치원(8월)'!CL16="",0,'초등학교+병설유치원(8월)'!CL16)</x:f>
        <x:v>0</x:v>
      </x:c>
      <x:c r="G210" s="294" t="n">
        <x:f>IF('초등학교+병설유치원(8월)'!CM16="",0,'초등학교+병설유치원(8월)'!CM16)</x:f>
        <x:v>0</x:v>
      </x:c>
      <x:c r="H210" s="294" t="n">
        <x:f>IF('초등학교+병설유치원(8월)'!CN16="",0,'초등학교+병설유치원(8월)'!CN16)</x:f>
        <x:v>0</x:v>
      </x:c>
      <x:c r="I210" s="294" t="n">
        <x:f>IF('초등학교+병설유치원(8월)'!CO16="",0,'초등학교+병설유치원(8월)'!CO16)</x:f>
        <x:v>0</x:v>
      </x:c>
      <x:c r="J210" s="296" t="n">
        <x:f>SUM(E210:I210)</x:f>
        <x:v>23</x:v>
      </x:c>
      <x:c r="K210" s="291" t="str">
        <x:v>8월</x:v>
      </x:c>
    </x:row>
    <x:row r="211">
      <x:c r="A211" s="291" t="n">
        <x:f>IF('초등학교+병설유치원(8월)'!A16="","",'초등학교+병설유치원(8월)'!A16)</x:f>
        <x:v>7</x:v>
      </x:c>
      <x:c r="B211" s="291" t="str">
        <x:v>초등학교</x:v>
      </x:c>
      <x:c r="C211" s="291" t="str">
        <x:f>IF('초등학교+병설유치원(8월)'!B16="","",'초등학교+병설유치원(8월)'!B16)</x:f>
        <x:v>이리동북초</x:v>
      </x:c>
      <x:c r="D211" s="293" t="n">
        <x:v>46255</x:v>
      </x:c>
      <x:c r="E211" s="294" t="n">
        <x:f>IF('초등학교+병설유치원(8월)'!CQ16="",0,'초등학교+병설유치원(8월)'!CQ16)</x:f>
        <x:v>23</x:v>
      </x:c>
      <x:c r="F211" s="294" t="n">
        <x:f>IF('초등학교+병설유치원(8월)'!CR16="",0,'초등학교+병설유치원(8월)'!CR16)</x:f>
        <x:v>0</x:v>
      </x:c>
      <x:c r="G211" s="294" t="n">
        <x:f>IF('초등학교+병설유치원(8월)'!CS16="",0,'초등학교+병설유치원(8월)'!CS16)</x:f>
        <x:v>0</x:v>
      </x:c>
      <x:c r="H211" s="294" t="n">
        <x:f>IF('초등학교+병설유치원(8월)'!CT16="",0,'초등학교+병설유치원(8월)'!CT16)</x:f>
        <x:v>0</x:v>
      </x:c>
      <x:c r="I211" s="294" t="n">
        <x:f>IF('초등학교+병설유치원(8월)'!CU16="",0,'초등학교+병설유치원(8월)'!CU16)</x:f>
        <x:v>0</x:v>
      </x:c>
      <x:c r="J211" s="296" t="n">
        <x:f>SUM(E211:I211)</x:f>
        <x:v>23</x:v>
      </x:c>
      <x:c r="K211" s="291" t="str">
        <x:v>8월</x:v>
      </x:c>
    </x:row>
    <x:row r="212">
      <x:c r="A212" s="291" t="n">
        <x:f>IF('초등학교+병설유치원(8월)'!A16="","",'초등학교+병설유치원(8월)'!A16)</x:f>
        <x:v>7</x:v>
      </x:c>
      <x:c r="B212" s="291" t="str">
        <x:v>초등학교</x:v>
      </x:c>
      <x:c r="C212" s="291" t="str">
        <x:f>IF('초등학교+병설유치원(8월)'!B16="","",'초등학교+병설유치원(8월)'!B16)</x:f>
        <x:v>이리동북초</x:v>
      </x:c>
      <x:c r="D212" s="293" t="n">
        <x:v>46258</x:v>
      </x:c>
      <x:c r="E212" s="294" t="n">
        <x:f>IF('초등학교+병설유치원(8월)'!CW16="",0,'초등학교+병설유치원(8월)'!CW16)</x:f>
        <x:v>23</x:v>
      </x:c>
      <x:c r="F212" s="294" t="n">
        <x:f>IF('초등학교+병설유치원(8월)'!CX16="",0,'초등학교+병설유치원(8월)'!CX16)</x:f>
        <x:v>0</x:v>
      </x:c>
      <x:c r="G212" s="294" t="n">
        <x:f>IF('초등학교+병설유치원(8월)'!CY16="",0,'초등학교+병설유치원(8월)'!CY16)</x:f>
        <x:v>0</x:v>
      </x:c>
      <x:c r="H212" s="294" t="n">
        <x:f>IF('초등학교+병설유치원(8월)'!CZ16="",0,'초등학교+병설유치원(8월)'!CZ16)</x:f>
        <x:v>0</x:v>
      </x:c>
      <x:c r="I212" s="294" t="n">
        <x:f>IF('초등학교+병설유치원(8월)'!DA16="",0,'초등학교+병설유치원(8월)'!DA16)</x:f>
        <x:v>0</x:v>
      </x:c>
      <x:c r="J212" s="296" t="n">
        <x:f>SUM(E212:I212)</x:f>
        <x:v>23</x:v>
      </x:c>
      <x:c r="K212" s="291" t="str">
        <x:v>8월</x:v>
      </x:c>
    </x:row>
    <x:row r="213">
      <x:c r="A213" s="291" t="n">
        <x:f>IF('초등학교+병설유치원(8월)'!A17="","",'초등학교+병설유치원(8월)'!A17)</x:f>
        <x:v>8</x:v>
      </x:c>
      <x:c r="B213" s="291" t="str">
        <x:v>초등학교</x:v>
      </x:c>
      <x:c r="C213" s="291" t="str">
        <x:f>IF('초등학교+병설유치원(8월)'!B17="","",'초등학교+병설유치원(8월)'!B17)</x:f>
        <x:v>이리동산초</x:v>
      </x:c>
      <x:c r="D213" s="293" t="n">
        <x:v>46237</x:v>
      </x:c>
      <x:c r="E213" s="294" t="n">
        <x:f>IF('초등학교+병설유치원(8월)'!Q17="",0,'초등학교+병설유치원(8월)'!Q17)</x:f>
        <x:v>15</x:v>
      </x:c>
      <x:c r="F213" s="294" t="n">
        <x:f>IF('초등학교+병설유치원(8월)'!R17="",0,'초등학교+병설유치원(8월)'!R17)</x:f>
        <x:v>13</x:v>
      </x:c>
      <x:c r="G213" s="294" t="n">
        <x:f>IF('초등학교+병설유치원(8월)'!S17="",0,'초등학교+병설유치원(8월)'!S17)</x:f>
        <x:v>0</x:v>
      </x:c>
      <x:c r="H213" s="294" t="n">
        <x:f>IF('초등학교+병설유치원(8월)'!T17="",0,'초등학교+병설유치원(8월)'!T17)</x:f>
        <x:v>0</x:v>
      </x:c>
      <x:c r="I213" s="294" t="n">
        <x:f>IF('초등학교+병설유치원(8월)'!U17="",0,'초등학교+병설유치원(8월)'!U17)</x:f>
        <x:v>0</x:v>
      </x:c>
      <x:c r="J213" s="296" t="n">
        <x:f>SUM(E213:I213)</x:f>
        <x:v>28</x:v>
      </x:c>
      <x:c r="K213" s="291" t="str">
        <x:v>8월</x:v>
      </x:c>
    </x:row>
    <x:row r="214">
      <x:c r="A214" s="291" t="n">
        <x:f>IF('초등학교+병설유치원(8월)'!A17="","",'초등학교+병설유치원(8월)'!A17)</x:f>
        <x:v>8</x:v>
      </x:c>
      <x:c r="B214" s="291" t="str">
        <x:v>초등학교</x:v>
      </x:c>
      <x:c r="C214" s="291" t="str">
        <x:f>IF('초등학교+병설유치원(8월)'!B17="","",'초등학교+병설유치원(8월)'!B17)</x:f>
        <x:v>이리동산초</x:v>
      </x:c>
      <x:c r="D214" s="293" t="n">
        <x:v>46238</x:v>
      </x:c>
      <x:c r="E214" s="294" t="n">
        <x:f>IF('초등학교+병설유치원(8월)'!W17="",0,'초등학교+병설유치원(8월)'!W17)</x:f>
        <x:v>15</x:v>
      </x:c>
      <x:c r="F214" s="294" t="n">
        <x:f>IF('초등학교+병설유치원(8월)'!X17="",0,'초등학교+병설유치원(8월)'!X17)</x:f>
        <x:v>13</x:v>
      </x:c>
      <x:c r="G214" s="294" t="n">
        <x:f>IF('초등학교+병설유치원(8월)'!Y17="",0,'초등학교+병설유치원(8월)'!Y17)</x:f>
        <x:v>0</x:v>
      </x:c>
      <x:c r="H214" s="294" t="n">
        <x:f>IF('초등학교+병설유치원(8월)'!Z17="",0,'초등학교+병설유치원(8월)'!Z17)</x:f>
        <x:v>0</x:v>
      </x:c>
      <x:c r="I214" s="294" t="n">
        <x:f>IF('초등학교+병설유치원(8월)'!AA17="",0,'초등학교+병설유치원(8월)'!AA17)</x:f>
        <x:v>0</x:v>
      </x:c>
      <x:c r="J214" s="296" t="n">
        <x:f>SUM(E214:I214)</x:f>
        <x:v>28</x:v>
      </x:c>
      <x:c r="K214" s="291" t="str">
        <x:v>8월</x:v>
      </x:c>
    </x:row>
    <x:row r="215">
      <x:c r="A215" s="291" t="n">
        <x:f>IF('초등학교+병설유치원(8월)'!A17="","",'초등학교+병설유치원(8월)'!A17)</x:f>
        <x:v>8</x:v>
      </x:c>
      <x:c r="B215" s="291" t="str">
        <x:v>초등학교</x:v>
      </x:c>
      <x:c r="C215" s="291" t="str">
        <x:f>IF('초등학교+병설유치원(8월)'!B17="","",'초등학교+병설유치원(8월)'!B17)</x:f>
        <x:v>이리동산초</x:v>
      </x:c>
      <x:c r="D215" s="293" t="n">
        <x:v>46239</x:v>
      </x:c>
      <x:c r="E215" s="294" t="n">
        <x:f>IF('초등학교+병설유치원(8월)'!AC17="",0,'초등학교+병설유치원(8월)'!AC17)</x:f>
        <x:v>15</x:v>
      </x:c>
      <x:c r="F215" s="294" t="n">
        <x:f>IF('초등학교+병설유치원(8월)'!AD17="",0,'초등학교+병설유치원(8월)'!AD17)</x:f>
        <x:v>13</x:v>
      </x:c>
      <x:c r="G215" s="294" t="n">
        <x:f>IF('초등학교+병설유치원(8월)'!AE17="",0,'초등학교+병설유치원(8월)'!AE17)</x:f>
        <x:v>0</x:v>
      </x:c>
      <x:c r="H215" s="294" t="n">
        <x:f>IF('초등학교+병설유치원(8월)'!AF17="",0,'초등학교+병설유치원(8월)'!AF17)</x:f>
        <x:v>0</x:v>
      </x:c>
      <x:c r="I215" s="294" t="n">
        <x:f>IF('초등학교+병설유치원(8월)'!AG17="",0,'초등학교+병설유치원(8월)'!AG17)</x:f>
        <x:v>0</x:v>
      </x:c>
      <x:c r="J215" s="296" t="n">
        <x:f>SUM(E215:I215)</x:f>
        <x:v>28</x:v>
      </x:c>
      <x:c r="K215" s="291" t="str">
        <x:v>8월</x:v>
      </x:c>
    </x:row>
    <x:row r="216">
      <x:c r="A216" s="291" t="n">
        <x:f>IF('초등학교+병설유치원(8월)'!A17="","",'초등학교+병설유치원(8월)'!A17)</x:f>
        <x:v>8</x:v>
      </x:c>
      <x:c r="B216" s="291" t="str">
        <x:v>초등학교</x:v>
      </x:c>
      <x:c r="C216" s="291" t="str">
        <x:f>IF('초등학교+병설유치원(8월)'!B17="","",'초등학교+병설유치원(8월)'!B17)</x:f>
        <x:v>이리동산초</x:v>
      </x:c>
      <x:c r="D216" s="293" t="n">
        <x:v>46240</x:v>
      </x:c>
      <x:c r="E216" s="294" t="n">
        <x:f>IF('초등학교+병설유치원(8월)'!AI17="",0,'초등학교+병설유치원(8월)'!AI17)</x:f>
        <x:v>15</x:v>
      </x:c>
      <x:c r="F216" s="294" t="n">
        <x:f>IF('초등학교+병설유치원(8월)'!AJ17="",0,'초등학교+병설유치원(8월)'!AJ17)</x:f>
        <x:v>13</x:v>
      </x:c>
      <x:c r="G216" s="294" t="n">
        <x:f>IF('초등학교+병설유치원(8월)'!AK17="",0,'초등학교+병설유치원(8월)'!AK17)</x:f>
        <x:v>0</x:v>
      </x:c>
      <x:c r="H216" s="294" t="n">
        <x:f>IF('초등학교+병설유치원(8월)'!AL17="",0,'초등학교+병설유치원(8월)'!AL17)</x:f>
        <x:v>0</x:v>
      </x:c>
      <x:c r="I216" s="294" t="n">
        <x:f>IF('초등학교+병설유치원(8월)'!AM17="",0,'초등학교+병설유치원(8월)'!AM17)</x:f>
        <x:v>0</x:v>
      </x:c>
      <x:c r="J216" s="296" t="n">
        <x:f>SUM(E216:I216)</x:f>
        <x:v>28</x:v>
      </x:c>
      <x:c r="K216" s="291" t="str">
        <x:v>8월</x:v>
      </x:c>
    </x:row>
    <x:row r="217">
      <x:c r="A217" s="291" t="n">
        <x:f>IF('초등학교+병설유치원(8월)'!A17="","",'초등학교+병설유치원(8월)'!A17)</x:f>
        <x:v>8</x:v>
      </x:c>
      <x:c r="B217" s="291" t="str">
        <x:v>초등학교</x:v>
      </x:c>
      <x:c r="C217" s="291" t="str">
        <x:f>IF('초등학교+병설유치원(8월)'!B17="","",'초등학교+병설유치원(8월)'!B17)</x:f>
        <x:v>이리동산초</x:v>
      </x:c>
      <x:c r="D217" s="293" t="n">
        <x:v>46241</x:v>
      </x:c>
      <x:c r="E217" s="294" t="n">
        <x:f>IF('초등학교+병설유치원(8월)'!AO17="",0,'초등학교+병설유치원(8월)'!AO17)</x:f>
        <x:v>15</x:v>
      </x:c>
      <x:c r="F217" s="294" t="n">
        <x:f>IF('초등학교+병설유치원(8월)'!AP17="",0,'초등학교+병설유치원(8월)'!AP17)</x:f>
        <x:v>13</x:v>
      </x:c>
      <x:c r="G217" s="294" t="n">
        <x:f>IF('초등학교+병설유치원(8월)'!AQ17="",0,'초등학교+병설유치원(8월)'!AQ17)</x:f>
        <x:v>0</x:v>
      </x:c>
      <x:c r="H217" s="294" t="n">
        <x:f>IF('초등학교+병설유치원(8월)'!AR17="",0,'초등학교+병설유치원(8월)'!AR17)</x:f>
        <x:v>0</x:v>
      </x:c>
      <x:c r="I217" s="294" t="n">
        <x:f>IF('초등학교+병설유치원(8월)'!AS17="",0,'초등학교+병설유치원(8월)'!AS17)</x:f>
        <x:v>0</x:v>
      </x:c>
      <x:c r="J217" s="296" t="n">
        <x:f>SUM(E217:I217)</x:f>
        <x:v>28</x:v>
      </x:c>
      <x:c r="K217" s="291" t="str">
        <x:v>8월</x:v>
      </x:c>
    </x:row>
    <x:row r="218">
      <x:c r="A218" s="291" t="n">
        <x:f>IF('초등학교+병설유치원(8월)'!A17="","",'초등학교+병설유치원(8월)'!A17)</x:f>
        <x:v>8</x:v>
      </x:c>
      <x:c r="B218" s="291" t="str">
        <x:v>초등학교</x:v>
      </x:c>
      <x:c r="C218" s="291" t="str">
        <x:f>IF('초등학교+병설유치원(8월)'!B17="","",'초등학교+병설유치원(8월)'!B17)</x:f>
        <x:v>이리동산초</x:v>
      </x:c>
      <x:c r="D218" s="293" t="n">
        <x:v>46244</x:v>
      </x:c>
      <x:c r="E218" s="294" t="n">
        <x:f>IF('초등학교+병설유치원(8월)'!AU17="",0,'초등학교+병설유치원(8월)'!AU17)</x:f>
        <x:v>15</x:v>
      </x:c>
      <x:c r="F218" s="294" t="n">
        <x:f>IF('초등학교+병설유치원(8월)'!AV17="",0,'초등학교+병설유치원(8월)'!AV17)</x:f>
        <x:v>13</x:v>
      </x:c>
      <x:c r="G218" s="294" t="n">
        <x:f>IF('초등학교+병설유치원(8월)'!AW17="",0,'초등학교+병설유치원(8월)'!AW17)</x:f>
        <x:v>0</x:v>
      </x:c>
      <x:c r="H218" s="294" t="n">
        <x:f>IF('초등학교+병설유치원(8월)'!AX17="",0,'초등학교+병설유치원(8월)'!AX17)</x:f>
        <x:v>0</x:v>
      </x:c>
      <x:c r="I218" s="294" t="n">
        <x:f>IF('초등학교+병설유치원(8월)'!AY17="",0,'초등학교+병설유치원(8월)'!AY17)</x:f>
        <x:v>0</x:v>
      </x:c>
      <x:c r="J218" s="296" t="n">
        <x:f>SUM(E218:I218)</x:f>
        <x:v>28</x:v>
      </x:c>
      <x:c r="K218" s="291" t="str">
        <x:v>8월</x:v>
      </x:c>
    </x:row>
    <x:row r="219">
      <x:c r="A219" s="291" t="n">
        <x:f>IF('초등학교+병설유치원(8월)'!A17="","",'초등학교+병설유치원(8월)'!A17)</x:f>
        <x:v>8</x:v>
      </x:c>
      <x:c r="B219" s="291" t="str">
        <x:v>초등학교</x:v>
      </x:c>
      <x:c r="C219" s="291" t="str">
        <x:f>IF('초등학교+병설유치원(8월)'!B17="","",'초등학교+병설유치원(8월)'!B17)</x:f>
        <x:v>이리동산초</x:v>
      </x:c>
      <x:c r="D219" s="293" t="n">
        <x:v>46245</x:v>
      </x:c>
      <x:c r="E219" s="294" t="n">
        <x:f>IF('초등학교+병설유치원(8월)'!BA17="",0,'초등학교+병설유치원(8월)'!BA17)</x:f>
        <x:v>15</x:v>
      </x:c>
      <x:c r="F219" s="294" t="n">
        <x:f>IF('초등학교+병설유치원(8월)'!BB17="",0,'초등학교+병설유치원(8월)'!BB17)</x:f>
        <x:v>13</x:v>
      </x:c>
      <x:c r="G219" s="294" t="n">
        <x:f>IF('초등학교+병설유치원(8월)'!BC17="",0,'초등학교+병설유치원(8월)'!BC17)</x:f>
        <x:v>0</x:v>
      </x:c>
      <x:c r="H219" s="294" t="n">
        <x:f>IF('초등학교+병설유치원(8월)'!BD17="",0,'초등학교+병설유치원(8월)'!BD17)</x:f>
        <x:v>0</x:v>
      </x:c>
      <x:c r="I219" s="294" t="n">
        <x:f>IF('초등학교+병설유치원(8월)'!BE17="",0,'초등학교+병설유치원(8월)'!BE17)</x:f>
        <x:v>0</x:v>
      </x:c>
      <x:c r="J219" s="296" t="n">
        <x:f>SUM(E219:I219)</x:f>
        <x:v>28</x:v>
      </x:c>
      <x:c r="K219" s="291" t="str">
        <x:v>8월</x:v>
      </x:c>
    </x:row>
    <x:row r="220">
      <x:c r="A220" s="291" t="n">
        <x:f>IF('초등학교+병설유치원(8월)'!A17="","",'초등학교+병설유치원(8월)'!A17)</x:f>
        <x:v>8</x:v>
      </x:c>
      <x:c r="B220" s="291" t="str">
        <x:v>초등학교</x:v>
      </x:c>
      <x:c r="C220" s="291" t="str">
        <x:f>IF('초등학교+병설유치원(8월)'!B17="","",'초등학교+병설유치원(8월)'!B17)</x:f>
        <x:v>이리동산초</x:v>
      </x:c>
      <x:c r="D220" s="293" t="n">
        <x:v>46246</x:v>
      </x:c>
      <x:c r="E220" s="294" t="n">
        <x:f>IF('초등학교+병설유치원(8월)'!BG17="",0,'초등학교+병설유치원(8월)'!BG17)</x:f>
        <x:v>15</x:v>
      </x:c>
      <x:c r="F220" s="294" t="n">
        <x:f>IF('초등학교+병설유치원(8월)'!BH17="",0,'초등학교+병설유치원(8월)'!BH17)</x:f>
        <x:v>13</x:v>
      </x:c>
      <x:c r="G220" s="294" t="n">
        <x:f>IF('초등학교+병설유치원(8월)'!BI17="",0,'초등학교+병설유치원(8월)'!BI17)</x:f>
        <x:v>0</x:v>
      </x:c>
      <x:c r="H220" s="294" t="n">
        <x:f>IF('초등학교+병설유치원(8월)'!BJ17="",0,'초등학교+병설유치원(8월)'!BJ17)</x:f>
        <x:v>0</x:v>
      </x:c>
      <x:c r="I220" s="294" t="n">
        <x:f>IF('초등학교+병설유치원(8월)'!BK17="",0,'초등학교+병설유치원(8월)'!BK17)</x:f>
        <x:v>0</x:v>
      </x:c>
      <x:c r="J220" s="296" t="n">
        <x:f>SUM(E220:I220)</x:f>
        <x:v>28</x:v>
      </x:c>
      <x:c r="K220" s="291" t="str">
        <x:v>8월</x:v>
      </x:c>
    </x:row>
    <x:row r="221">
      <x:c r="A221" s="291" t="n">
        <x:f>IF('초등학교+병설유치원(8월)'!A17="","",'초등학교+병설유치원(8월)'!A17)</x:f>
        <x:v>8</x:v>
      </x:c>
      <x:c r="B221" s="291" t="str">
        <x:v>초등학교</x:v>
      </x:c>
      <x:c r="C221" s="291" t="str">
        <x:f>IF('초등학교+병설유치원(8월)'!B17="","",'초등학교+병설유치원(8월)'!B17)</x:f>
        <x:v>이리동산초</x:v>
      </x:c>
      <x:c r="D221" s="293" t="n">
        <x:v>46247</x:v>
      </x:c>
      <x:c r="E221" s="294" t="n">
        <x:f>IF('초등학교+병설유치원(8월)'!BM17="",0,'초등학교+병설유치원(8월)'!BM17)</x:f>
        <x:v>15</x:v>
      </x:c>
      <x:c r="F221" s="294" t="n">
        <x:f>IF('초등학교+병설유치원(8월)'!BN17="",0,'초등학교+병설유치원(8월)'!BN17)</x:f>
        <x:v>13</x:v>
      </x:c>
      <x:c r="G221" s="294" t="n">
        <x:f>IF('초등학교+병설유치원(8월)'!BO17="",0,'초등학교+병설유치원(8월)'!BO17)</x:f>
        <x:v>0</x:v>
      </x:c>
      <x:c r="H221" s="294" t="n">
        <x:f>IF('초등학교+병설유치원(8월)'!BP17="",0,'초등학교+병설유치원(8월)'!BP17)</x:f>
        <x:v>0</x:v>
      </x:c>
      <x:c r="I221" s="294" t="n">
        <x:f>IF('초등학교+병설유치원(8월)'!BQ17="",0,'초등학교+병설유치원(8월)'!BQ17)</x:f>
        <x:v>0</x:v>
      </x:c>
      <x:c r="J221" s="296" t="n">
        <x:f>SUM(E221:I221)</x:f>
        <x:v>28</x:v>
      </x:c>
      <x:c r="K221" s="291" t="str">
        <x:v>8월</x:v>
      </x:c>
    </x:row>
    <x:row r="222">
      <x:c r="A222" s="291" t="n">
        <x:f>IF('초등학교+병설유치원(8월)'!A17="","",'초등학교+병설유치원(8월)'!A17)</x:f>
        <x:v>8</x:v>
      </x:c>
      <x:c r="B222" s="291" t="str">
        <x:v>초등학교</x:v>
      </x:c>
      <x:c r="C222" s="291" t="str">
        <x:f>IF('초등학교+병설유치원(8월)'!B17="","",'초등학교+병설유치원(8월)'!B17)</x:f>
        <x:v>이리동산초</x:v>
      </x:c>
      <x:c r="D222" s="293" t="n">
        <x:v>46248</x:v>
      </x:c>
      <x:c r="E222" s="294" t="n">
        <x:f>IF('초등학교+병설유치원(8월)'!BS17="",0,'초등학교+병설유치원(8월)'!BS17)</x:f>
        <x:v>15</x:v>
      </x:c>
      <x:c r="F222" s="294" t="n">
        <x:f>IF('초등학교+병설유치원(8월)'!BT17="",0,'초등학교+병설유치원(8월)'!BT17)</x:f>
        <x:v>13</x:v>
      </x:c>
      <x:c r="G222" s="294" t="n">
        <x:f>IF('초등학교+병설유치원(8월)'!BU17="",0,'초등학교+병설유치원(8월)'!BU17)</x:f>
        <x:v>0</x:v>
      </x:c>
      <x:c r="H222" s="294" t="n">
        <x:f>IF('초등학교+병설유치원(8월)'!BV17="",0,'초등학교+병설유치원(8월)'!BV17)</x:f>
        <x:v>0</x:v>
      </x:c>
      <x:c r="I222" s="294" t="n">
        <x:f>IF('초등학교+병설유치원(8월)'!BW17="",0,'초등학교+병설유치원(8월)'!BW17)</x:f>
        <x:v>0</x:v>
      </x:c>
      <x:c r="J222" s="296" t="n">
        <x:f>SUM(E222:I222)</x:f>
        <x:v>28</x:v>
      </x:c>
      <x:c r="K222" s="291" t="str">
        <x:v>8월</x:v>
      </x:c>
    </x:row>
    <x:row r="223">
      <x:c r="A223" s="291" t="n">
        <x:f>IF('초등학교+병설유치원(8월)'!A17="","",'초등학교+병설유치원(8월)'!A17)</x:f>
        <x:v>8</x:v>
      </x:c>
      <x:c r="B223" s="291" t="str">
        <x:v>초등학교</x:v>
      </x:c>
      <x:c r="C223" s="291" t="str">
        <x:f>IF('초등학교+병설유치원(8월)'!B17="","",'초등학교+병설유치원(8월)'!B17)</x:f>
        <x:v>이리동산초</x:v>
      </x:c>
      <x:c r="D223" s="293" t="n">
        <x:v>46252</x:v>
      </x:c>
      <x:c r="E223" s="294" t="n">
        <x:f>IF('초등학교+병설유치원(8월)'!BY17="",0,'초등학교+병설유치원(8월)'!BY17)</x:f>
        <x:v>15</x:v>
      </x:c>
      <x:c r="F223" s="294" t="n">
        <x:f>IF('초등학교+병설유치원(8월)'!BZ17="",0,'초등학교+병설유치원(8월)'!BZ17)</x:f>
        <x:v>13</x:v>
      </x:c>
      <x:c r="G223" s="294" t="n">
        <x:f>IF('초등학교+병설유치원(8월)'!CA17="",0,'초등학교+병설유치원(8월)'!CA17)</x:f>
        <x:v>0</x:v>
      </x:c>
      <x:c r="H223" s="294" t="n">
        <x:f>IF('초등학교+병설유치원(8월)'!CB17="",0,'초등학교+병설유치원(8월)'!CB17)</x:f>
        <x:v>0</x:v>
      </x:c>
      <x:c r="I223" s="294" t="n">
        <x:f>IF('초등학교+병설유치원(8월)'!CC17="",0,'초등학교+병설유치원(8월)'!CC17)</x:f>
        <x:v>0</x:v>
      </x:c>
      <x:c r="J223" s="296" t="n">
        <x:f>SUM(E223:I223)</x:f>
        <x:v>28</x:v>
      </x:c>
      <x:c r="K223" s="291" t="str">
        <x:v>8월</x:v>
      </x:c>
    </x:row>
    <x:row r="224">
      <x:c r="A224" s="291" t="n">
        <x:f>IF('초등학교+병설유치원(8월)'!A17="","",'초등학교+병설유치원(8월)'!A17)</x:f>
        <x:v>8</x:v>
      </x:c>
      <x:c r="B224" s="291" t="str">
        <x:v>초등학교</x:v>
      </x:c>
      <x:c r="C224" s="291" t="str">
        <x:f>IF('초등학교+병설유치원(8월)'!B17="","",'초등학교+병설유치원(8월)'!B17)</x:f>
        <x:v>이리동산초</x:v>
      </x:c>
      <x:c r="D224" s="293" t="n">
        <x:v>46253</x:v>
      </x:c>
      <x:c r="E224" s="294" t="n">
        <x:f>IF('초등학교+병설유치원(8월)'!CE17="",0,'초등학교+병설유치원(8월)'!CE17)</x:f>
        <x:v>15</x:v>
      </x:c>
      <x:c r="F224" s="294" t="n">
        <x:f>IF('초등학교+병설유치원(8월)'!CF17="",0,'초등학교+병설유치원(8월)'!CF17)</x:f>
        <x:v>13</x:v>
      </x:c>
      <x:c r="G224" s="294" t="n">
        <x:f>IF('초등학교+병설유치원(8월)'!CG17="",0,'초등학교+병설유치원(8월)'!CG17)</x:f>
        <x:v>0</x:v>
      </x:c>
      <x:c r="H224" s="294" t="n">
        <x:f>IF('초등학교+병설유치원(8월)'!CH17="",0,'초등학교+병설유치원(8월)'!CH17)</x:f>
        <x:v>0</x:v>
      </x:c>
      <x:c r="I224" s="294" t="n">
        <x:f>IF('초등학교+병설유치원(8월)'!CI17="",0,'초등학교+병설유치원(8월)'!CI17)</x:f>
        <x:v>0</x:v>
      </x:c>
      <x:c r="J224" s="296" t="n">
        <x:f>SUM(E224:I224)</x:f>
        <x:v>28</x:v>
      </x:c>
      <x:c r="K224" s="291" t="str">
        <x:v>8월</x:v>
      </x:c>
    </x:row>
    <x:row r="225">
      <x:c r="A225" s="291" t="n">
        <x:f>IF('초등학교+병설유치원(8월)'!A18="","",'초등학교+병설유치원(8월)'!A18)</x:f>
        <x:v>9</x:v>
      </x:c>
      <x:c r="B225" s="291" t="str">
        <x:v>초등학교</x:v>
      </x:c>
      <x:c r="C225" s="291" t="str">
        <x:f>IF('초등학교+병설유치원(8월)'!B18="","",'초등학교+병설유치원(8월)'!B18)</x:f>
        <x:v>이리동초</x:v>
      </x:c>
      <x:c r="D225" s="293" t="n">
        <x:v>46237</x:v>
      </x:c>
      <x:c r="E225" s="294" t="n">
        <x:f>IF('초등학교+병설유치원(8월)'!Q18="",0,'초등학교+병설유치원(8월)'!Q18)</x:f>
        <x:v>16</x:v>
      </x:c>
      <x:c r="F225" s="294" t="n">
        <x:f>IF('초등학교+병설유치원(8월)'!R18="",0,'초등학교+병설유치원(8월)'!R18)</x:f>
        <x:v>17</x:v>
      </x:c>
      <x:c r="G225" s="294" t="n">
        <x:f>IF('초등학교+병설유치원(8월)'!S18="",0,'초등학교+병설유치원(8월)'!S18)</x:f>
        <x:v>0</x:v>
      </x:c>
      <x:c r="H225" s="294" t="n">
        <x:f>IF('초등학교+병설유치원(8월)'!T18="",0,'초등학교+병설유치원(8월)'!T18)</x:f>
        <x:v>0</x:v>
      </x:c>
      <x:c r="I225" s="294" t="n">
        <x:f>IF('초등학교+병설유치원(8월)'!U18="",0,'초등학교+병설유치원(8월)'!U18)</x:f>
        <x:v>0</x:v>
      </x:c>
      <x:c r="J225" s="296" t="n">
        <x:f>SUM(E225:I225)</x:f>
        <x:v>33</x:v>
      </x:c>
      <x:c r="K225" s="291" t="str">
        <x:v>8월</x:v>
      </x:c>
    </x:row>
    <x:row r="226">
      <x:c r="A226" s="291" t="n">
        <x:f>IF('초등학교+병설유치원(8월)'!A18="","",'초등학교+병설유치원(8월)'!A18)</x:f>
        <x:v>9</x:v>
      </x:c>
      <x:c r="B226" s="291" t="str">
        <x:v>초등학교</x:v>
      </x:c>
      <x:c r="C226" s="291" t="str">
        <x:f>IF('초등학교+병설유치원(8월)'!B18="","",'초등학교+병설유치원(8월)'!B18)</x:f>
        <x:v>이리동초</x:v>
      </x:c>
      <x:c r="D226" s="293" t="n">
        <x:v>46238</x:v>
      </x:c>
      <x:c r="E226" s="294" t="n">
        <x:f>IF('초등학교+병설유치원(8월)'!W18="",0,'초등학교+병설유치원(8월)'!W18)</x:f>
        <x:v>16</x:v>
      </x:c>
      <x:c r="F226" s="294" t="n">
        <x:f>IF('초등학교+병설유치원(8월)'!X18="",0,'초등학교+병설유치원(8월)'!X18)</x:f>
        <x:v>17</x:v>
      </x:c>
      <x:c r="G226" s="294" t="n">
        <x:f>IF('초등학교+병설유치원(8월)'!Y18="",0,'초등학교+병설유치원(8월)'!Y18)</x:f>
        <x:v>0</x:v>
      </x:c>
      <x:c r="H226" s="294" t="n">
        <x:f>IF('초등학교+병설유치원(8월)'!Z18="",0,'초등학교+병설유치원(8월)'!Z18)</x:f>
        <x:v>0</x:v>
      </x:c>
      <x:c r="I226" s="294" t="n">
        <x:f>IF('초등학교+병설유치원(8월)'!AA18="",0,'초등학교+병설유치원(8월)'!AA18)</x:f>
        <x:v>0</x:v>
      </x:c>
      <x:c r="J226" s="296" t="n">
        <x:f>SUM(E226:I226)</x:f>
        <x:v>33</x:v>
      </x:c>
      <x:c r="K226" s="291" t="str">
        <x:v>8월</x:v>
      </x:c>
    </x:row>
    <x:row r="227">
      <x:c r="A227" s="291" t="n">
        <x:f>IF('초등학교+병설유치원(8월)'!A18="","",'초등학교+병설유치원(8월)'!A18)</x:f>
        <x:v>9</x:v>
      </x:c>
      <x:c r="B227" s="291" t="str">
        <x:v>초등학교</x:v>
      </x:c>
      <x:c r="C227" s="291" t="str">
        <x:f>IF('초등학교+병설유치원(8월)'!B18="","",'초등학교+병설유치원(8월)'!B18)</x:f>
        <x:v>이리동초</x:v>
      </x:c>
      <x:c r="D227" s="293" t="n">
        <x:v>46239</x:v>
      </x:c>
      <x:c r="E227" s="294" t="n">
        <x:f>IF('초등학교+병설유치원(8월)'!AC18="",0,'초등학교+병설유치원(8월)'!AC18)</x:f>
        <x:v>16</x:v>
      </x:c>
      <x:c r="F227" s="294" t="n">
        <x:f>IF('초등학교+병설유치원(8월)'!AD18="",0,'초등학교+병설유치원(8월)'!AD18)</x:f>
        <x:v>17</x:v>
      </x:c>
      <x:c r="G227" s="294" t="n">
        <x:f>IF('초등학교+병설유치원(8월)'!AE18="",0,'초등학교+병설유치원(8월)'!AE18)</x:f>
        <x:v>0</x:v>
      </x:c>
      <x:c r="H227" s="294" t="n">
        <x:f>IF('초등학교+병설유치원(8월)'!AF18="",0,'초등학교+병설유치원(8월)'!AF18)</x:f>
        <x:v>0</x:v>
      </x:c>
      <x:c r="I227" s="294" t="n">
        <x:f>IF('초등학교+병설유치원(8월)'!AG18="",0,'초등학교+병설유치원(8월)'!AG18)</x:f>
        <x:v>0</x:v>
      </x:c>
      <x:c r="J227" s="296" t="n">
        <x:f>SUM(E227:I227)</x:f>
        <x:v>33</x:v>
      </x:c>
      <x:c r="K227" s="291" t="str">
        <x:v>8월</x:v>
      </x:c>
    </x:row>
    <x:row r="228">
      <x:c r="A228" s="291" t="n">
        <x:f>IF('초등학교+병설유치원(8월)'!A18="","",'초등학교+병설유치원(8월)'!A18)</x:f>
        <x:v>9</x:v>
      </x:c>
      <x:c r="B228" s="291" t="str">
        <x:v>초등학교</x:v>
      </x:c>
      <x:c r="C228" s="291" t="str">
        <x:f>IF('초등학교+병설유치원(8월)'!B18="","",'초등학교+병설유치원(8월)'!B18)</x:f>
        <x:v>이리동초</x:v>
      </x:c>
      <x:c r="D228" s="293" t="n">
        <x:v>46240</x:v>
      </x:c>
      <x:c r="E228" s="294" t="n">
        <x:f>IF('초등학교+병설유치원(8월)'!AI18="",0,'초등학교+병설유치원(8월)'!AI18)</x:f>
        <x:v>16</x:v>
      </x:c>
      <x:c r="F228" s="294" t="n">
        <x:f>IF('초등학교+병설유치원(8월)'!AJ18="",0,'초등학교+병설유치원(8월)'!AJ18)</x:f>
        <x:v>17</x:v>
      </x:c>
      <x:c r="G228" s="294" t="n">
        <x:f>IF('초등학교+병설유치원(8월)'!AK18="",0,'초등학교+병설유치원(8월)'!AK18)</x:f>
        <x:v>0</x:v>
      </x:c>
      <x:c r="H228" s="294" t="n">
        <x:f>IF('초등학교+병설유치원(8월)'!AL18="",0,'초등학교+병설유치원(8월)'!AL18)</x:f>
        <x:v>0</x:v>
      </x:c>
      <x:c r="I228" s="294" t="n">
        <x:f>IF('초등학교+병설유치원(8월)'!AM18="",0,'초등학교+병설유치원(8월)'!AM18)</x:f>
        <x:v>0</x:v>
      </x:c>
      <x:c r="J228" s="296" t="n">
        <x:f>SUM(E228:I228)</x:f>
        <x:v>33</x:v>
      </x:c>
      <x:c r="K228" s="291" t="str">
        <x:v>8월</x:v>
      </x:c>
    </x:row>
    <x:row r="229">
      <x:c r="A229" s="291" t="n">
        <x:f>IF('초등학교+병설유치원(8월)'!A18="","",'초등학교+병설유치원(8월)'!A18)</x:f>
        <x:v>9</x:v>
      </x:c>
      <x:c r="B229" s="291" t="str">
        <x:v>초등학교</x:v>
      </x:c>
      <x:c r="C229" s="291" t="str">
        <x:f>IF('초등학교+병설유치원(8월)'!B18="","",'초등학교+병설유치원(8월)'!B18)</x:f>
        <x:v>이리동초</x:v>
      </x:c>
      <x:c r="D229" s="293" t="n">
        <x:v>46241</x:v>
      </x:c>
      <x:c r="E229" s="294" t="n">
        <x:f>IF('초등학교+병설유치원(8월)'!AO18="",0,'초등학교+병설유치원(8월)'!AO18)</x:f>
        <x:v>16</x:v>
      </x:c>
      <x:c r="F229" s="294" t="n">
        <x:f>IF('초등학교+병설유치원(8월)'!AP18="",0,'초등학교+병설유치원(8월)'!AP18)</x:f>
        <x:v>17</x:v>
      </x:c>
      <x:c r="G229" s="294" t="n">
        <x:f>IF('초등학교+병설유치원(8월)'!AQ18="",0,'초등학교+병설유치원(8월)'!AQ18)</x:f>
        <x:v>0</x:v>
      </x:c>
      <x:c r="H229" s="294" t="n">
        <x:f>IF('초등학교+병설유치원(8월)'!AR18="",0,'초등학교+병설유치원(8월)'!AR18)</x:f>
        <x:v>0</x:v>
      </x:c>
      <x:c r="I229" s="294" t="n">
        <x:f>IF('초등학교+병설유치원(8월)'!AS18="",0,'초등학교+병설유치원(8월)'!AS18)</x:f>
        <x:v>0</x:v>
      </x:c>
      <x:c r="J229" s="296" t="n">
        <x:f>SUM(E229:I229)</x:f>
        <x:v>33</x:v>
      </x:c>
      <x:c r="K229" s="291" t="str">
        <x:v>8월</x:v>
      </x:c>
    </x:row>
    <x:row r="230">
      <x:c r="A230" s="291" t="n">
        <x:f>IF('초등학교+병설유치원(8월)'!A18="","",'초등학교+병설유치원(8월)'!A18)</x:f>
        <x:v>9</x:v>
      </x:c>
      <x:c r="B230" s="291" t="str">
        <x:v>초등학교</x:v>
      </x:c>
      <x:c r="C230" s="291" t="str">
        <x:f>IF('초등학교+병설유치원(8월)'!B18="","",'초등학교+병설유치원(8월)'!B18)</x:f>
        <x:v>이리동초</x:v>
      </x:c>
      <x:c r="D230" s="293" t="n">
        <x:v>46244</x:v>
      </x:c>
      <x:c r="E230" s="294" t="n">
        <x:f>IF('초등학교+병설유치원(8월)'!AU18="",0,'초등학교+병설유치원(8월)'!AU18)</x:f>
        <x:v>16</x:v>
      </x:c>
      <x:c r="F230" s="294" t="n">
        <x:f>IF('초등학교+병설유치원(8월)'!AV18="",0,'초등학교+병설유치원(8월)'!AV18)</x:f>
        <x:v>17</x:v>
      </x:c>
      <x:c r="G230" s="294" t="n">
        <x:f>IF('초등학교+병설유치원(8월)'!AW18="",0,'초등학교+병설유치원(8월)'!AW18)</x:f>
        <x:v>0</x:v>
      </x:c>
      <x:c r="H230" s="294" t="n">
        <x:f>IF('초등학교+병설유치원(8월)'!AX18="",0,'초등학교+병설유치원(8월)'!AX18)</x:f>
        <x:v>0</x:v>
      </x:c>
      <x:c r="I230" s="294" t="n">
        <x:f>IF('초등학교+병설유치원(8월)'!AY18="",0,'초등학교+병설유치원(8월)'!AY18)</x:f>
        <x:v>0</x:v>
      </x:c>
      <x:c r="J230" s="296" t="n">
        <x:f>SUM(E230:I230)</x:f>
        <x:v>33</x:v>
      </x:c>
      <x:c r="K230" s="291" t="str">
        <x:v>8월</x:v>
      </x:c>
    </x:row>
    <x:row r="231">
      <x:c r="A231" s="291" t="n">
        <x:f>IF('초등학교+병설유치원(8월)'!A18="","",'초등학교+병설유치원(8월)'!A18)</x:f>
        <x:v>9</x:v>
      </x:c>
      <x:c r="B231" s="291" t="str">
        <x:v>초등학교</x:v>
      </x:c>
      <x:c r="C231" s="291" t="str">
        <x:f>IF('초등학교+병설유치원(8월)'!B18="","",'초등학교+병설유치원(8월)'!B18)</x:f>
        <x:v>이리동초</x:v>
      </x:c>
      <x:c r="D231" s="293" t="n">
        <x:v>46245</x:v>
      </x:c>
      <x:c r="E231" s="294" t="n">
        <x:f>IF('초등학교+병설유치원(8월)'!BA18="",0,'초등학교+병설유치원(8월)'!BA18)</x:f>
        <x:v>16</x:v>
      </x:c>
      <x:c r="F231" s="294" t="n">
        <x:f>IF('초등학교+병설유치원(8월)'!BB18="",0,'초등학교+병설유치원(8월)'!BB18)</x:f>
        <x:v>17</x:v>
      </x:c>
      <x:c r="G231" s="294" t="n">
        <x:f>IF('초등학교+병설유치원(8월)'!BC18="",0,'초등학교+병설유치원(8월)'!BC18)</x:f>
        <x:v>0</x:v>
      </x:c>
      <x:c r="H231" s="294" t="n">
        <x:f>IF('초등학교+병설유치원(8월)'!BD18="",0,'초등학교+병설유치원(8월)'!BD18)</x:f>
        <x:v>0</x:v>
      </x:c>
      <x:c r="I231" s="294" t="n">
        <x:f>IF('초등학교+병설유치원(8월)'!BE18="",0,'초등학교+병설유치원(8월)'!BE18)</x:f>
        <x:v>0</x:v>
      </x:c>
      <x:c r="J231" s="296" t="n">
        <x:f>SUM(E231:I231)</x:f>
        <x:v>33</x:v>
      </x:c>
      <x:c r="K231" s="291" t="str">
        <x:v>8월</x:v>
      </x:c>
    </x:row>
    <x:row r="232">
      <x:c r="A232" s="291" t="n">
        <x:f>IF('초등학교+병설유치원(8월)'!A18="","",'초등학교+병설유치원(8월)'!A18)</x:f>
        <x:v>9</x:v>
      </x:c>
      <x:c r="B232" s="291" t="str">
        <x:v>초등학교</x:v>
      </x:c>
      <x:c r="C232" s="291" t="str">
        <x:f>IF('초등학교+병설유치원(8월)'!B18="","",'초등학교+병설유치원(8월)'!B18)</x:f>
        <x:v>이리동초</x:v>
      </x:c>
      <x:c r="D232" s="293" t="n">
        <x:v>46246</x:v>
      </x:c>
      <x:c r="E232" s="294" t="n">
        <x:f>IF('초등학교+병설유치원(8월)'!BG18="",0,'초등학교+병설유치원(8월)'!BG18)</x:f>
        <x:v>16</x:v>
      </x:c>
      <x:c r="F232" s="294" t="n">
        <x:f>IF('초등학교+병설유치원(8월)'!BH18="",0,'초등학교+병설유치원(8월)'!BH18)</x:f>
        <x:v>17</x:v>
      </x:c>
      <x:c r="G232" s="294" t="n">
        <x:f>IF('초등학교+병설유치원(8월)'!BI18="",0,'초등학교+병설유치원(8월)'!BI18)</x:f>
        <x:v>0</x:v>
      </x:c>
      <x:c r="H232" s="294" t="n">
        <x:f>IF('초등학교+병설유치원(8월)'!BJ18="",0,'초등학교+병설유치원(8월)'!BJ18)</x:f>
        <x:v>0</x:v>
      </x:c>
      <x:c r="I232" s="294" t="n">
        <x:f>IF('초등학교+병설유치원(8월)'!BK18="",0,'초등학교+병설유치원(8월)'!BK18)</x:f>
        <x:v>0</x:v>
      </x:c>
      <x:c r="J232" s="296" t="n">
        <x:f>SUM(E232:I232)</x:f>
        <x:v>33</x:v>
      </x:c>
      <x:c r="K232" s="291" t="str">
        <x:v>8월</x:v>
      </x:c>
    </x:row>
    <x:row r="233">
      <x:c r="A233" s="291" t="n">
        <x:f>IF('초등학교+병설유치원(8월)'!A18="","",'초등학교+병설유치원(8월)'!A18)</x:f>
        <x:v>9</x:v>
      </x:c>
      <x:c r="B233" s="291" t="str">
        <x:v>초등학교</x:v>
      </x:c>
      <x:c r="C233" s="291" t="str">
        <x:f>IF('초등학교+병설유치원(8월)'!B18="","",'초등학교+병설유치원(8월)'!B18)</x:f>
        <x:v>이리동초</x:v>
      </x:c>
      <x:c r="D233" s="293" t="n">
        <x:v>46247</x:v>
      </x:c>
      <x:c r="E233" s="294" t="n">
        <x:f>IF('초등학교+병설유치원(8월)'!BM18="",0,'초등학교+병설유치원(8월)'!BM18)</x:f>
        <x:v>16</x:v>
      </x:c>
      <x:c r="F233" s="294" t="n">
        <x:f>IF('초등학교+병설유치원(8월)'!BN18="",0,'초등학교+병설유치원(8월)'!BN18)</x:f>
        <x:v>17</x:v>
      </x:c>
      <x:c r="G233" s="294" t="n">
        <x:f>IF('초등학교+병설유치원(8월)'!BO18="",0,'초등학교+병설유치원(8월)'!BO18)</x:f>
        <x:v>0</x:v>
      </x:c>
      <x:c r="H233" s="294" t="n">
        <x:f>IF('초등학교+병설유치원(8월)'!BP18="",0,'초등학교+병설유치원(8월)'!BP18)</x:f>
        <x:v>0</x:v>
      </x:c>
      <x:c r="I233" s="294" t="n">
        <x:f>IF('초등학교+병설유치원(8월)'!BQ18="",0,'초등학교+병설유치원(8월)'!BQ18)</x:f>
        <x:v>0</x:v>
      </x:c>
      <x:c r="J233" s="296" t="n">
        <x:f>SUM(E233:I233)</x:f>
        <x:v>33</x:v>
      </x:c>
      <x:c r="K233" s="291" t="str">
        <x:v>8월</x:v>
      </x:c>
    </x:row>
    <x:row r="234">
      <x:c r="A234" s="291" t="n">
        <x:f>IF('초등학교+병설유치원(8월)'!A18="","",'초등학교+병설유치원(8월)'!A18)</x:f>
        <x:v>9</x:v>
      </x:c>
      <x:c r="B234" s="291" t="str">
        <x:v>초등학교</x:v>
      </x:c>
      <x:c r="C234" s="291" t="str">
        <x:f>IF('초등학교+병설유치원(8월)'!B18="","",'초등학교+병설유치원(8월)'!B18)</x:f>
        <x:v>이리동초</x:v>
      </x:c>
      <x:c r="D234" s="293" t="n">
        <x:v>46248</x:v>
      </x:c>
      <x:c r="E234" s="294" t="n">
        <x:f>IF('초등학교+병설유치원(8월)'!BS18="",0,'초등학교+병설유치원(8월)'!BS18)</x:f>
        <x:v>16</x:v>
      </x:c>
      <x:c r="F234" s="294" t="n">
        <x:f>IF('초등학교+병설유치원(8월)'!BT18="",0,'초등학교+병설유치원(8월)'!BT18)</x:f>
        <x:v>17</x:v>
      </x:c>
      <x:c r="G234" s="294" t="n">
        <x:f>IF('초등학교+병설유치원(8월)'!BU18="",0,'초등학교+병설유치원(8월)'!BU18)</x:f>
        <x:v>0</x:v>
      </x:c>
      <x:c r="H234" s="294" t="n">
        <x:f>IF('초등학교+병설유치원(8월)'!BV18="",0,'초등학교+병설유치원(8월)'!BV18)</x:f>
        <x:v>0</x:v>
      </x:c>
      <x:c r="I234" s="294" t="n">
        <x:f>IF('초등학교+병설유치원(8월)'!BW18="",0,'초등학교+병설유치원(8월)'!BW18)</x:f>
        <x:v>0</x:v>
      </x:c>
      <x:c r="J234" s="296" t="n">
        <x:f>SUM(E234:I234)</x:f>
        <x:v>33</x:v>
      </x:c>
      <x:c r="K234" s="291" t="str">
        <x:v>8월</x:v>
      </x:c>
    </x:row>
    <x:row r="235">
      <x:c r="A235" s="291" t="n">
        <x:f>IF('초등학교+병설유치원(8월)'!A18="","",'초등학교+병설유치원(8월)'!A18)</x:f>
        <x:v>9</x:v>
      </x:c>
      <x:c r="B235" s="291" t="str">
        <x:v>초등학교</x:v>
      </x:c>
      <x:c r="C235" s="291" t="str">
        <x:f>IF('초등학교+병설유치원(8월)'!B18="","",'초등학교+병설유치원(8월)'!B18)</x:f>
        <x:v>이리동초</x:v>
      </x:c>
      <x:c r="D235" s="293" t="n">
        <x:v>46253</x:v>
      </x:c>
      <x:c r="E235" s="294" t="n">
        <x:f>IF('초등학교+병설유치원(8월)'!CE18="",0,'초등학교+병설유치원(8월)'!CE18)</x:f>
        <x:v>16</x:v>
      </x:c>
      <x:c r="F235" s="294" t="n">
        <x:f>IF('초등학교+병설유치원(8월)'!CF18="",0,'초등학교+병설유치원(8월)'!CF18)</x:f>
        <x:v>17</x:v>
      </x:c>
      <x:c r="G235" s="294" t="n">
        <x:f>IF('초등학교+병설유치원(8월)'!CG18="",0,'초등학교+병설유치원(8월)'!CG18)</x:f>
        <x:v>0</x:v>
      </x:c>
      <x:c r="H235" s="294" t="n">
        <x:f>IF('초등학교+병설유치원(8월)'!CH18="",0,'초등학교+병설유치원(8월)'!CH18)</x:f>
        <x:v>0</x:v>
      </x:c>
      <x:c r="I235" s="294" t="n">
        <x:f>IF('초등학교+병설유치원(8월)'!CI18="",0,'초등학교+병설유치원(8월)'!CI18)</x:f>
        <x:v>0</x:v>
      </x:c>
      <x:c r="J235" s="296" t="n">
        <x:f>SUM(E235:I235)</x:f>
        <x:v>33</x:v>
      </x:c>
      <x:c r="K235" s="291" t="str">
        <x:v>8월</x:v>
      </x:c>
    </x:row>
    <x:row r="236">
      <x:c r="A236" s="291" t="n">
        <x:f>IF('초등학교+병설유치원(8월)'!A19="","",'초등학교+병설유치원(8월)'!A19)</x:f>
        <x:v>10</x:v>
      </x:c>
      <x:c r="B236" s="291" t="str">
        <x:v>초등학교</x:v>
      </x:c>
      <x:c r="C236" s="291" t="str">
        <x:f>IF('초등학교+병설유치원(8월)'!B19="","",'초등학교+병설유치원(8월)'!B19)</x:f>
        <x:v>이리마한초</x:v>
      </x:c>
      <x:c r="D236" s="293" t="n">
        <x:v>46237</x:v>
      </x:c>
      <x:c r="E236" s="294" t="n">
        <x:f>IF('초등학교+병설유치원(8월)'!Q19="",0,'초등학교+병설유치원(8월)'!Q19)</x:f>
        <x:v>19</x:v>
      </x:c>
      <x:c r="F236" s="294" t="n">
        <x:f>IF('초등학교+병설유치원(8월)'!R19="",0,'초등학교+병설유치원(8월)'!R19)</x:f>
        <x:v>18</x:v>
      </x:c>
      <x:c r="G236" s="294" t="n">
        <x:f>IF('초등학교+병설유치원(8월)'!S19="",0,'초등학교+병설유치원(8월)'!S19)</x:f>
        <x:v>0</x:v>
      </x:c>
      <x:c r="H236" s="294" t="n">
        <x:f>IF('초등학교+병설유치원(8월)'!T19="",0,'초등학교+병설유치원(8월)'!T19)</x:f>
        <x:v>0</x:v>
      </x:c>
      <x:c r="I236" s="294" t="n">
        <x:f>IF('초등학교+병설유치원(8월)'!U19="",0,'초등학교+병설유치원(8월)'!U19)</x:f>
        <x:v>0</x:v>
      </x:c>
      <x:c r="J236" s="296" t="n">
        <x:f>SUM(E236:I236)</x:f>
        <x:v>37</x:v>
      </x:c>
      <x:c r="K236" s="291" t="str">
        <x:v>8월</x:v>
      </x:c>
    </x:row>
    <x:row r="237">
      <x:c r="A237" s="291" t="n">
        <x:f>IF('초등학교+병설유치원(8월)'!A19="","",'초등학교+병설유치원(8월)'!A19)</x:f>
        <x:v>10</x:v>
      </x:c>
      <x:c r="B237" s="291" t="str">
        <x:v>초등학교</x:v>
      </x:c>
      <x:c r="C237" s="291" t="str">
        <x:f>IF('초등학교+병설유치원(8월)'!B19="","",'초등학교+병설유치원(8월)'!B19)</x:f>
        <x:v>이리마한초</x:v>
      </x:c>
      <x:c r="D237" s="293" t="n">
        <x:v>46238</x:v>
      </x:c>
      <x:c r="E237" s="294" t="n">
        <x:f>IF('초등학교+병설유치원(8월)'!W19="",0,'초등학교+병설유치원(8월)'!W19)</x:f>
        <x:v>19</x:v>
      </x:c>
      <x:c r="F237" s="294" t="n">
        <x:f>IF('초등학교+병설유치원(8월)'!X19="",0,'초등학교+병설유치원(8월)'!X19)</x:f>
        <x:v>18</x:v>
      </x:c>
      <x:c r="G237" s="294" t="n">
        <x:f>IF('초등학교+병설유치원(8월)'!Y19="",0,'초등학교+병설유치원(8월)'!Y19)</x:f>
        <x:v>0</x:v>
      </x:c>
      <x:c r="H237" s="294" t="n">
        <x:f>IF('초등학교+병설유치원(8월)'!Z19="",0,'초등학교+병설유치원(8월)'!Z19)</x:f>
        <x:v>0</x:v>
      </x:c>
      <x:c r="I237" s="294" t="n">
        <x:f>IF('초등학교+병설유치원(8월)'!AA19="",0,'초등학교+병설유치원(8월)'!AA19)</x:f>
        <x:v>0</x:v>
      </x:c>
      <x:c r="J237" s="296" t="n">
        <x:f>SUM(E237:I237)</x:f>
        <x:v>37</x:v>
      </x:c>
      <x:c r="K237" s="291" t="str">
        <x:v>8월</x:v>
      </x:c>
    </x:row>
    <x:row r="238">
      <x:c r="A238" s="291" t="n">
        <x:f>IF('초등학교+병설유치원(8월)'!A19="","",'초등학교+병설유치원(8월)'!A19)</x:f>
        <x:v>10</x:v>
      </x:c>
      <x:c r="B238" s="291" t="str">
        <x:v>초등학교</x:v>
      </x:c>
      <x:c r="C238" s="291" t="str">
        <x:f>IF('초등학교+병설유치원(8월)'!B19="","",'초등학교+병설유치원(8월)'!B19)</x:f>
        <x:v>이리마한초</x:v>
      </x:c>
      <x:c r="D238" s="293" t="n">
        <x:v>46239</x:v>
      </x:c>
      <x:c r="E238" s="294" t="n">
        <x:f>IF('초등학교+병설유치원(8월)'!AC19="",0,'초등학교+병설유치원(8월)'!AC19)</x:f>
        <x:v>19</x:v>
      </x:c>
      <x:c r="F238" s="294" t="n">
        <x:f>IF('초등학교+병설유치원(8월)'!AD19="",0,'초등학교+병설유치원(8월)'!AD19)</x:f>
        <x:v>18</x:v>
      </x:c>
      <x:c r="G238" s="294" t="n">
        <x:f>IF('초등학교+병설유치원(8월)'!AE19="",0,'초등학교+병설유치원(8월)'!AE19)</x:f>
        <x:v>0</x:v>
      </x:c>
      <x:c r="H238" s="294" t="n">
        <x:f>IF('초등학교+병설유치원(8월)'!AF19="",0,'초등학교+병설유치원(8월)'!AF19)</x:f>
        <x:v>0</x:v>
      </x:c>
      <x:c r="I238" s="294" t="n">
        <x:f>IF('초등학교+병설유치원(8월)'!AG19="",0,'초등학교+병설유치원(8월)'!AG19)</x:f>
        <x:v>0</x:v>
      </x:c>
      <x:c r="J238" s="296" t="n">
        <x:f>SUM(E238:I238)</x:f>
        <x:v>37</x:v>
      </x:c>
      <x:c r="K238" s="291" t="str">
        <x:v>8월</x:v>
      </x:c>
    </x:row>
    <x:row r="239">
      <x:c r="A239" s="291" t="n">
        <x:f>IF('초등학교+병설유치원(8월)'!A19="","",'초등학교+병설유치원(8월)'!A19)</x:f>
        <x:v>10</x:v>
      </x:c>
      <x:c r="B239" s="291" t="str">
        <x:v>초등학교</x:v>
      </x:c>
      <x:c r="C239" s="291" t="str">
        <x:f>IF('초등학교+병설유치원(8월)'!B19="","",'초등학교+병설유치원(8월)'!B19)</x:f>
        <x:v>이리마한초</x:v>
      </x:c>
      <x:c r="D239" s="293" t="n">
        <x:v>46240</x:v>
      </x:c>
      <x:c r="E239" s="294" t="n">
        <x:f>IF('초등학교+병설유치원(8월)'!AI19="",0,'초등학교+병설유치원(8월)'!AI19)</x:f>
        <x:v>19</x:v>
      </x:c>
      <x:c r="F239" s="294" t="n">
        <x:f>IF('초등학교+병설유치원(8월)'!AJ19="",0,'초등학교+병설유치원(8월)'!AJ19)</x:f>
        <x:v>18</x:v>
      </x:c>
      <x:c r="G239" s="294" t="n">
        <x:f>IF('초등학교+병설유치원(8월)'!AK19="",0,'초등학교+병설유치원(8월)'!AK19)</x:f>
        <x:v>0</x:v>
      </x:c>
      <x:c r="H239" s="294" t="n">
        <x:f>IF('초등학교+병설유치원(8월)'!AL19="",0,'초등학교+병설유치원(8월)'!AL19)</x:f>
        <x:v>0</x:v>
      </x:c>
      <x:c r="I239" s="294" t="n">
        <x:f>IF('초등학교+병설유치원(8월)'!AM19="",0,'초등학교+병설유치원(8월)'!AM19)</x:f>
        <x:v>0</x:v>
      </x:c>
      <x:c r="J239" s="296" t="n">
        <x:f>SUM(E239:I239)</x:f>
        <x:v>37</x:v>
      </x:c>
      <x:c r="K239" s="291" t="str">
        <x:v>8월</x:v>
      </x:c>
    </x:row>
    <x:row r="240">
      <x:c r="A240" s="291" t="n">
        <x:f>IF('초등학교+병설유치원(8월)'!A19="","",'초등학교+병설유치원(8월)'!A19)</x:f>
        <x:v>10</x:v>
      </x:c>
      <x:c r="B240" s="291" t="str">
        <x:v>초등학교</x:v>
      </x:c>
      <x:c r="C240" s="291" t="str">
        <x:f>IF('초등학교+병설유치원(8월)'!B19="","",'초등학교+병설유치원(8월)'!B19)</x:f>
        <x:v>이리마한초</x:v>
      </x:c>
      <x:c r="D240" s="293" t="n">
        <x:v>46241</x:v>
      </x:c>
      <x:c r="E240" s="294" t="n">
        <x:f>IF('초등학교+병설유치원(8월)'!AO19="",0,'초등학교+병설유치원(8월)'!AO19)</x:f>
        <x:v>19</x:v>
      </x:c>
      <x:c r="F240" s="294" t="n">
        <x:f>IF('초등학교+병설유치원(8월)'!AP19="",0,'초등학교+병설유치원(8월)'!AP19)</x:f>
        <x:v>18</x:v>
      </x:c>
      <x:c r="G240" s="294" t="n">
        <x:f>IF('초등학교+병설유치원(8월)'!AQ19="",0,'초등학교+병설유치원(8월)'!AQ19)</x:f>
        <x:v>0</x:v>
      </x:c>
      <x:c r="H240" s="294" t="n">
        <x:f>IF('초등학교+병설유치원(8월)'!AR19="",0,'초등학교+병설유치원(8월)'!AR19)</x:f>
        <x:v>0</x:v>
      </x:c>
      <x:c r="I240" s="294" t="n">
        <x:f>IF('초등학교+병설유치원(8월)'!AS19="",0,'초등학교+병설유치원(8월)'!AS19)</x:f>
        <x:v>0</x:v>
      </x:c>
      <x:c r="J240" s="296" t="n">
        <x:f>SUM(E240:I240)</x:f>
        <x:v>37</x:v>
      </x:c>
      <x:c r="K240" s="291" t="str">
        <x:v>8월</x:v>
      </x:c>
    </x:row>
    <x:row r="241">
      <x:c r="A241" s="291" t="n">
        <x:f>IF('초등학교+병설유치원(8월)'!A19="","",'초등학교+병설유치원(8월)'!A19)</x:f>
        <x:v>10</x:v>
      </x:c>
      <x:c r="B241" s="291" t="str">
        <x:v>초등학교</x:v>
      </x:c>
      <x:c r="C241" s="291" t="str">
        <x:f>IF('초등학교+병설유치원(8월)'!B19="","",'초등학교+병설유치원(8월)'!B19)</x:f>
        <x:v>이리마한초</x:v>
      </x:c>
      <x:c r="D241" s="293" t="n">
        <x:v>46244</x:v>
      </x:c>
      <x:c r="E241" s="294" t="n">
        <x:f>IF('초등학교+병설유치원(8월)'!AU19="",0,'초등학교+병설유치원(8월)'!AU19)</x:f>
        <x:v>19</x:v>
      </x:c>
      <x:c r="F241" s="294" t="n">
        <x:f>IF('초등학교+병설유치원(8월)'!AV19="",0,'초등학교+병설유치원(8월)'!AV19)</x:f>
        <x:v>18</x:v>
      </x:c>
      <x:c r="G241" s="294" t="n">
        <x:f>IF('초등학교+병설유치원(8월)'!AW19="",0,'초등학교+병설유치원(8월)'!AW19)</x:f>
        <x:v>0</x:v>
      </x:c>
      <x:c r="H241" s="294" t="n">
        <x:f>IF('초등학교+병설유치원(8월)'!AX19="",0,'초등학교+병설유치원(8월)'!AX19)</x:f>
        <x:v>0</x:v>
      </x:c>
      <x:c r="I241" s="294" t="n">
        <x:f>IF('초등학교+병설유치원(8월)'!AY19="",0,'초등학교+병설유치원(8월)'!AY19)</x:f>
        <x:v>0</x:v>
      </x:c>
      <x:c r="J241" s="296" t="n">
        <x:f>SUM(E241:I241)</x:f>
        <x:v>37</x:v>
      </x:c>
      <x:c r="K241" s="291" t="str">
        <x:v>8월</x:v>
      </x:c>
    </x:row>
    <x:row r="242">
      <x:c r="A242" s="291" t="n">
        <x:f>IF('초등학교+병설유치원(8월)'!A19="","",'초등학교+병설유치원(8월)'!A19)</x:f>
        <x:v>10</x:v>
      </x:c>
      <x:c r="B242" s="291" t="str">
        <x:v>초등학교</x:v>
      </x:c>
      <x:c r="C242" s="291" t="str">
        <x:f>IF('초등학교+병설유치원(8월)'!B19="","",'초등학교+병설유치원(8월)'!B19)</x:f>
        <x:v>이리마한초</x:v>
      </x:c>
      <x:c r="D242" s="293" t="n">
        <x:v>46245</x:v>
      </x:c>
      <x:c r="E242" s="294" t="n">
        <x:f>IF('초등학교+병설유치원(8월)'!BA19="",0,'초등학교+병설유치원(8월)'!BA19)</x:f>
        <x:v>19</x:v>
      </x:c>
      <x:c r="F242" s="294" t="n">
        <x:f>IF('초등학교+병설유치원(8월)'!BB19="",0,'초등학교+병설유치원(8월)'!BB19)</x:f>
        <x:v>18</x:v>
      </x:c>
      <x:c r="G242" s="294" t="n">
        <x:f>IF('초등학교+병설유치원(8월)'!BC19="",0,'초등학교+병설유치원(8월)'!BC19)</x:f>
        <x:v>0</x:v>
      </x:c>
      <x:c r="H242" s="294" t="n">
        <x:f>IF('초등학교+병설유치원(8월)'!BD19="",0,'초등학교+병설유치원(8월)'!BD19)</x:f>
        <x:v>0</x:v>
      </x:c>
      <x:c r="I242" s="294" t="n">
        <x:f>IF('초등학교+병설유치원(8월)'!BE19="",0,'초등학교+병설유치원(8월)'!BE19)</x:f>
        <x:v>0</x:v>
      </x:c>
      <x:c r="J242" s="296" t="n">
        <x:f>SUM(E242:I242)</x:f>
        <x:v>37</x:v>
      </x:c>
      <x:c r="K242" s="291" t="str">
        <x:v>8월</x:v>
      </x:c>
    </x:row>
    <x:row r="243">
      <x:c r="A243" s="291" t="n">
        <x:f>IF('초등학교+병설유치원(8월)'!A19="","",'초등학교+병설유치원(8월)'!A19)</x:f>
        <x:v>10</x:v>
      </x:c>
      <x:c r="B243" s="291" t="str">
        <x:v>초등학교</x:v>
      </x:c>
      <x:c r="C243" s="291" t="str">
        <x:f>IF('초등학교+병설유치원(8월)'!B19="","",'초등학교+병설유치원(8월)'!B19)</x:f>
        <x:v>이리마한초</x:v>
      </x:c>
      <x:c r="D243" s="293" t="n">
        <x:v>46246</x:v>
      </x:c>
      <x:c r="E243" s="294" t="n">
        <x:f>IF('초등학교+병설유치원(8월)'!BG19="",0,'초등학교+병설유치원(8월)'!BG19)</x:f>
        <x:v>19</x:v>
      </x:c>
      <x:c r="F243" s="294" t="n">
        <x:f>IF('초등학교+병설유치원(8월)'!BH19="",0,'초등학교+병설유치원(8월)'!BH19)</x:f>
        <x:v>18</x:v>
      </x:c>
      <x:c r="G243" s="294" t="n">
        <x:f>IF('초등학교+병설유치원(8월)'!BI19="",0,'초등학교+병설유치원(8월)'!BI19)</x:f>
        <x:v>0</x:v>
      </x:c>
      <x:c r="H243" s="294" t="n">
        <x:f>IF('초등학교+병설유치원(8월)'!BJ19="",0,'초등학교+병설유치원(8월)'!BJ19)</x:f>
        <x:v>0</x:v>
      </x:c>
      <x:c r="I243" s="294" t="n">
        <x:f>IF('초등학교+병설유치원(8월)'!BK19="",0,'초등학교+병설유치원(8월)'!BK19)</x:f>
        <x:v>0</x:v>
      </x:c>
      <x:c r="J243" s="296" t="n">
        <x:f>SUM(E243:I243)</x:f>
        <x:v>37</x:v>
      </x:c>
      <x:c r="K243" s="291" t="str">
        <x:v>8월</x:v>
      </x:c>
    </x:row>
    <x:row r="244">
      <x:c r="A244" s="291" t="n">
        <x:f>IF('초등학교+병설유치원(8월)'!A19="","",'초등학교+병설유치원(8월)'!A19)</x:f>
        <x:v>10</x:v>
      </x:c>
      <x:c r="B244" s="291" t="str">
        <x:v>초등학교</x:v>
      </x:c>
      <x:c r="C244" s="291" t="str">
        <x:f>IF('초등학교+병설유치원(8월)'!B19="","",'초등학교+병설유치원(8월)'!B19)</x:f>
        <x:v>이리마한초</x:v>
      </x:c>
      <x:c r="D244" s="293" t="n">
        <x:v>46247</x:v>
      </x:c>
      <x:c r="E244" s="294" t="n">
        <x:f>IF('초등학교+병설유치원(8월)'!BM19="",0,'초등학교+병설유치원(8월)'!BM19)</x:f>
        <x:v>19</x:v>
      </x:c>
      <x:c r="F244" s="294" t="n">
        <x:f>IF('초등학교+병설유치원(8월)'!BN19="",0,'초등학교+병설유치원(8월)'!BN19)</x:f>
        <x:v>18</x:v>
      </x:c>
      <x:c r="G244" s="294" t="n">
        <x:f>IF('초등학교+병설유치원(8월)'!BO19="",0,'초등학교+병설유치원(8월)'!BO19)</x:f>
        <x:v>0</x:v>
      </x:c>
      <x:c r="H244" s="294" t="n">
        <x:f>IF('초등학교+병설유치원(8월)'!BP19="",0,'초등학교+병설유치원(8월)'!BP19)</x:f>
        <x:v>0</x:v>
      </x:c>
      <x:c r="I244" s="294" t="n">
        <x:f>IF('초등학교+병설유치원(8월)'!BQ19="",0,'초등학교+병설유치원(8월)'!BQ19)</x:f>
        <x:v>0</x:v>
      </x:c>
      <x:c r="J244" s="296" t="n">
        <x:f>SUM(E244:I244)</x:f>
        <x:v>37</x:v>
      </x:c>
      <x:c r="K244" s="291" t="str">
        <x:v>8월</x:v>
      </x:c>
    </x:row>
    <x:row r="245">
      <x:c r="A245" s="291" t="n">
        <x:f>IF('초등학교+병설유치원(8월)'!A19="","",'초등학교+병설유치원(8월)'!A19)</x:f>
        <x:v>10</x:v>
      </x:c>
      <x:c r="B245" s="291" t="str">
        <x:v>초등학교</x:v>
      </x:c>
      <x:c r="C245" s="291" t="str">
        <x:f>IF('초등학교+병설유치원(8월)'!B19="","",'초등학교+병설유치원(8월)'!B19)</x:f>
        <x:v>이리마한초</x:v>
      </x:c>
      <x:c r="D245" s="293" t="n">
        <x:v>46248</x:v>
      </x:c>
      <x:c r="E245" s="294" t="n">
        <x:f>IF('초등학교+병설유치원(8월)'!BS19="",0,'초등학교+병설유치원(8월)'!BS19)</x:f>
        <x:v>19</x:v>
      </x:c>
      <x:c r="F245" s="294" t="n">
        <x:f>IF('초등학교+병설유치원(8월)'!BT19="",0,'초등학교+병설유치원(8월)'!BT19)</x:f>
        <x:v>18</x:v>
      </x:c>
      <x:c r="G245" s="294" t="n">
        <x:f>IF('초등학교+병설유치원(8월)'!BU19="",0,'초등학교+병설유치원(8월)'!BU19)</x:f>
        <x:v>0</x:v>
      </x:c>
      <x:c r="H245" s="294" t="n">
        <x:f>IF('초등학교+병설유치원(8월)'!BV19="",0,'초등학교+병설유치원(8월)'!BV19)</x:f>
        <x:v>0</x:v>
      </x:c>
      <x:c r="I245" s="294" t="n">
        <x:f>IF('초등학교+병설유치원(8월)'!BW19="",0,'초등학교+병설유치원(8월)'!BW19)</x:f>
        <x:v>0</x:v>
      </x:c>
      <x:c r="J245" s="296" t="n">
        <x:f>SUM(E245:I245)</x:f>
        <x:v>37</x:v>
      </x:c>
      <x:c r="K245" s="291" t="str">
        <x:v>8월</x:v>
      </x:c>
    </x:row>
    <x:row r="246">
      <x:c r="A246" s="291" t="str">
        <x:f>IF('초등학교+병설유치원(8월)'!A20="","",'초등학교+병설유치원(8월)'!A20)</x:f>
        <x:v>10-1</x:v>
      </x:c>
      <x:c r="B246" s="291" t="str">
        <x:v>병설유치원</x:v>
      </x:c>
      <x:c r="C246" s="291" t="str">
        <x:f>IF('초등학교+병설유치원(8월)'!B20="","",'초등학교+병설유치원(8월)'!B20)</x:f>
        <x:v>이리마한초 병설유치원</x:v>
      </x:c>
      <x:c r="D246" s="293" t="n">
        <x:v>46237</x:v>
      </x:c>
      <x:c r="E246" s="294" t="n">
        <x:f>IF('초등학교+병설유치원(8월)'!Q20="",0,'초등학교+병설유치원(8월)'!Q20)</x:f>
        <x:v>4</x:v>
      </x:c>
      <x:c r="F246" s="294" t="n">
        <x:f>IF('초등학교+병설유치원(8월)'!R20="",0,'초등학교+병설유치원(8월)'!R20)</x:f>
        <x:v>0</x:v>
      </x:c>
      <x:c r="G246" s="294" t="n">
        <x:f>IF('초등학교+병설유치원(8월)'!S20="",0,'초등학교+병설유치원(8월)'!S20)</x:f>
        <x:v>0</x:v>
      </x:c>
      <x:c r="H246" s="294" t="n">
        <x:f>IF('초등학교+병설유치원(8월)'!T20="",0,'초등학교+병설유치원(8월)'!T20)</x:f>
        <x:v>0</x:v>
      </x:c>
      <x:c r="I246" s="294" t="n">
        <x:f>IF('초등학교+병설유치원(8월)'!U20="",0,'초등학교+병설유치원(8월)'!U20)</x:f>
        <x:v>0</x:v>
      </x:c>
      <x:c r="J246" s="296" t="n">
        <x:f>SUM(E246:I246)</x:f>
        <x:v>4</x:v>
      </x:c>
      <x:c r="K246" s="291" t="str">
        <x:v>8월</x:v>
      </x:c>
    </x:row>
    <x:row r="247">
      <x:c r="A247" s="291" t="str">
        <x:f>IF('초등학교+병설유치원(8월)'!A20="","",'초등학교+병설유치원(8월)'!A20)</x:f>
        <x:v>10-1</x:v>
      </x:c>
      <x:c r="B247" s="291" t="str">
        <x:v>병설유치원</x:v>
      </x:c>
      <x:c r="C247" s="291" t="str">
        <x:f>IF('초등학교+병설유치원(8월)'!B20="","",'초등학교+병설유치원(8월)'!B20)</x:f>
        <x:v>이리마한초 병설유치원</x:v>
      </x:c>
      <x:c r="D247" s="293" t="n">
        <x:v>46238</x:v>
      </x:c>
      <x:c r="E247" s="294" t="n">
        <x:f>IF('초등학교+병설유치원(8월)'!W20="",0,'초등학교+병설유치원(8월)'!W20)</x:f>
        <x:v>4</x:v>
      </x:c>
      <x:c r="F247" s="294" t="n">
        <x:f>IF('초등학교+병설유치원(8월)'!X20="",0,'초등학교+병설유치원(8월)'!X20)</x:f>
        <x:v>0</x:v>
      </x:c>
      <x:c r="G247" s="294" t="n">
        <x:f>IF('초등학교+병설유치원(8월)'!Y20="",0,'초등학교+병설유치원(8월)'!Y20)</x:f>
        <x:v>0</x:v>
      </x:c>
      <x:c r="H247" s="294" t="n">
        <x:f>IF('초등학교+병설유치원(8월)'!Z20="",0,'초등학교+병설유치원(8월)'!Z20)</x:f>
        <x:v>0</x:v>
      </x:c>
      <x:c r="I247" s="294" t="n">
        <x:f>IF('초등학교+병설유치원(8월)'!AA20="",0,'초등학교+병설유치원(8월)'!AA20)</x:f>
        <x:v>0</x:v>
      </x:c>
      <x:c r="J247" s="296" t="n">
        <x:f>SUM(E247:I247)</x:f>
        <x:v>4</x:v>
      </x:c>
      <x:c r="K247" s="291" t="str">
        <x:v>8월</x:v>
      </x:c>
    </x:row>
    <x:row r="248">
      <x:c r="A248" s="291" t="str">
        <x:f>IF('초등학교+병설유치원(8월)'!A20="","",'초등학교+병설유치원(8월)'!A20)</x:f>
        <x:v>10-1</x:v>
      </x:c>
      <x:c r="B248" s="291" t="str">
        <x:v>병설유치원</x:v>
      </x:c>
      <x:c r="C248" s="291" t="str">
        <x:f>IF('초등학교+병설유치원(8월)'!B20="","",'초등학교+병설유치원(8월)'!B20)</x:f>
        <x:v>이리마한초 병설유치원</x:v>
      </x:c>
      <x:c r="D248" s="293" t="n">
        <x:v>46239</x:v>
      </x:c>
      <x:c r="E248" s="294" t="n">
        <x:f>IF('초등학교+병설유치원(8월)'!AC20="",0,'초등학교+병설유치원(8월)'!AC20)</x:f>
        <x:v>4</x:v>
      </x:c>
      <x:c r="F248" s="294" t="n">
        <x:f>IF('초등학교+병설유치원(8월)'!AD20="",0,'초등학교+병설유치원(8월)'!AD20)</x:f>
        <x:v>0</x:v>
      </x:c>
      <x:c r="G248" s="294" t="n">
        <x:f>IF('초등학교+병설유치원(8월)'!AE20="",0,'초등학교+병설유치원(8월)'!AE20)</x:f>
        <x:v>0</x:v>
      </x:c>
      <x:c r="H248" s="294" t="n">
        <x:f>IF('초등학교+병설유치원(8월)'!AF20="",0,'초등학교+병설유치원(8월)'!AF20)</x:f>
        <x:v>0</x:v>
      </x:c>
      <x:c r="I248" s="294" t="n">
        <x:f>IF('초등학교+병설유치원(8월)'!AG20="",0,'초등학교+병설유치원(8월)'!AG20)</x:f>
        <x:v>0</x:v>
      </x:c>
      <x:c r="J248" s="296" t="n">
        <x:f>SUM(E248:I248)</x:f>
        <x:v>4</x:v>
      </x:c>
      <x:c r="K248" s="291" t="str">
        <x:v>8월</x:v>
      </x:c>
    </x:row>
    <x:row r="249">
      <x:c r="A249" s="291" t="str">
        <x:f>IF('초등학교+병설유치원(8월)'!A20="","",'초등학교+병설유치원(8월)'!A20)</x:f>
        <x:v>10-1</x:v>
      </x:c>
      <x:c r="B249" s="291" t="str">
        <x:v>병설유치원</x:v>
      </x:c>
      <x:c r="C249" s="291" t="str">
        <x:f>IF('초등학교+병설유치원(8월)'!B20="","",'초등학교+병설유치원(8월)'!B20)</x:f>
        <x:v>이리마한초 병설유치원</x:v>
      </x:c>
      <x:c r="D249" s="293" t="n">
        <x:v>46240</x:v>
      </x:c>
      <x:c r="E249" s="294" t="n">
        <x:f>IF('초등학교+병설유치원(8월)'!AI20="",0,'초등학교+병설유치원(8월)'!AI20)</x:f>
        <x:v>4</x:v>
      </x:c>
      <x:c r="F249" s="294" t="n">
        <x:f>IF('초등학교+병설유치원(8월)'!AJ20="",0,'초등학교+병설유치원(8월)'!AJ20)</x:f>
        <x:v>0</x:v>
      </x:c>
      <x:c r="G249" s="294" t="n">
        <x:f>IF('초등학교+병설유치원(8월)'!AK20="",0,'초등학교+병설유치원(8월)'!AK20)</x:f>
        <x:v>0</x:v>
      </x:c>
      <x:c r="H249" s="294" t="n">
        <x:f>IF('초등학교+병설유치원(8월)'!AL20="",0,'초등학교+병설유치원(8월)'!AL20)</x:f>
        <x:v>0</x:v>
      </x:c>
      <x:c r="I249" s="294" t="n">
        <x:f>IF('초등학교+병설유치원(8월)'!AM20="",0,'초등학교+병설유치원(8월)'!AM20)</x:f>
        <x:v>0</x:v>
      </x:c>
      <x:c r="J249" s="296" t="n">
        <x:f>SUM(E249:I249)</x:f>
        <x:v>4</x:v>
      </x:c>
      <x:c r="K249" s="291" t="str">
        <x:v>8월</x:v>
      </x:c>
    </x:row>
    <x:row r="250">
      <x:c r="A250" s="291" t="str">
        <x:f>IF('초등학교+병설유치원(8월)'!A20="","",'초등학교+병설유치원(8월)'!A20)</x:f>
        <x:v>10-1</x:v>
      </x:c>
      <x:c r="B250" s="291" t="str">
        <x:v>병설유치원</x:v>
      </x:c>
      <x:c r="C250" s="291" t="str">
        <x:f>IF('초등학교+병설유치원(8월)'!B20="","",'초등학교+병설유치원(8월)'!B20)</x:f>
        <x:v>이리마한초 병설유치원</x:v>
      </x:c>
      <x:c r="D250" s="293" t="n">
        <x:v>46241</x:v>
      </x:c>
      <x:c r="E250" s="294" t="n">
        <x:f>IF('초등학교+병설유치원(8월)'!AO20="",0,'초등학교+병설유치원(8월)'!AO20)</x:f>
        <x:v>4</x:v>
      </x:c>
      <x:c r="F250" s="294" t="n">
        <x:f>IF('초등학교+병설유치원(8월)'!AP20="",0,'초등학교+병설유치원(8월)'!AP20)</x:f>
        <x:v>0</x:v>
      </x:c>
      <x:c r="G250" s="294" t="n">
        <x:f>IF('초등학교+병설유치원(8월)'!AQ20="",0,'초등학교+병설유치원(8월)'!AQ20)</x:f>
        <x:v>0</x:v>
      </x:c>
      <x:c r="H250" s="294" t="n">
        <x:f>IF('초등학교+병설유치원(8월)'!AR20="",0,'초등학교+병설유치원(8월)'!AR20)</x:f>
        <x:v>0</x:v>
      </x:c>
      <x:c r="I250" s="294" t="n">
        <x:f>IF('초등학교+병설유치원(8월)'!AS20="",0,'초등학교+병설유치원(8월)'!AS20)</x:f>
        <x:v>0</x:v>
      </x:c>
      <x:c r="J250" s="296" t="n">
        <x:f>SUM(E250:I250)</x:f>
        <x:v>4</x:v>
      </x:c>
      <x:c r="K250" s="291" t="str">
        <x:v>8월</x:v>
      </x:c>
    </x:row>
    <x:row r="251">
      <x:c r="A251" s="291" t="str">
        <x:f>IF('초등학교+병설유치원(8월)'!A20="","",'초등학교+병설유치원(8월)'!A20)</x:f>
        <x:v>10-1</x:v>
      </x:c>
      <x:c r="B251" s="291" t="str">
        <x:v>병설유치원</x:v>
      </x:c>
      <x:c r="C251" s="291" t="str">
        <x:f>IF('초등학교+병설유치원(8월)'!B20="","",'초등학교+병설유치원(8월)'!B20)</x:f>
        <x:v>이리마한초 병설유치원</x:v>
      </x:c>
      <x:c r="D251" s="293" t="n">
        <x:v>46244</x:v>
      </x:c>
      <x:c r="E251" s="294" t="n">
        <x:f>IF('초등학교+병설유치원(8월)'!AU20="",0,'초등학교+병설유치원(8월)'!AU20)</x:f>
        <x:v>4</x:v>
      </x:c>
      <x:c r="F251" s="294" t="n">
        <x:f>IF('초등학교+병설유치원(8월)'!AV20="",0,'초등학교+병설유치원(8월)'!AV20)</x:f>
        <x:v>0</x:v>
      </x:c>
      <x:c r="G251" s="294" t="n">
        <x:f>IF('초등학교+병설유치원(8월)'!AW20="",0,'초등학교+병설유치원(8월)'!AW20)</x:f>
        <x:v>0</x:v>
      </x:c>
      <x:c r="H251" s="294" t="n">
        <x:f>IF('초등학교+병설유치원(8월)'!AX20="",0,'초등학교+병설유치원(8월)'!AX20)</x:f>
        <x:v>0</x:v>
      </x:c>
      <x:c r="I251" s="294" t="n">
        <x:f>IF('초등학교+병설유치원(8월)'!AY20="",0,'초등학교+병설유치원(8월)'!AY20)</x:f>
        <x:v>0</x:v>
      </x:c>
      <x:c r="J251" s="296" t="n">
        <x:f>SUM(E251:I251)</x:f>
        <x:v>4</x:v>
      </x:c>
      <x:c r="K251" s="291" t="str">
        <x:v>8월</x:v>
      </x:c>
    </x:row>
    <x:row r="252">
      <x:c r="A252" s="291" t="str">
        <x:f>IF('초등학교+병설유치원(8월)'!A20="","",'초등학교+병설유치원(8월)'!A20)</x:f>
        <x:v>10-1</x:v>
      </x:c>
      <x:c r="B252" s="291" t="str">
        <x:v>병설유치원</x:v>
      </x:c>
      <x:c r="C252" s="291" t="str">
        <x:f>IF('초등학교+병설유치원(8월)'!B20="","",'초등학교+병설유치원(8월)'!B20)</x:f>
        <x:v>이리마한초 병설유치원</x:v>
      </x:c>
      <x:c r="D252" s="293" t="n">
        <x:v>46245</x:v>
      </x:c>
      <x:c r="E252" s="294" t="n">
        <x:f>IF('초등학교+병설유치원(8월)'!BA20="",0,'초등학교+병설유치원(8월)'!BA20)</x:f>
        <x:v>4</x:v>
      </x:c>
      <x:c r="F252" s="294" t="n">
        <x:f>IF('초등학교+병설유치원(8월)'!BB20="",0,'초등학교+병설유치원(8월)'!BB20)</x:f>
        <x:v>0</x:v>
      </x:c>
      <x:c r="G252" s="294" t="n">
        <x:f>IF('초등학교+병설유치원(8월)'!BC20="",0,'초등학교+병설유치원(8월)'!BC20)</x:f>
        <x:v>0</x:v>
      </x:c>
      <x:c r="H252" s="294" t="n">
        <x:f>IF('초등학교+병설유치원(8월)'!BD20="",0,'초등학교+병설유치원(8월)'!BD20)</x:f>
        <x:v>0</x:v>
      </x:c>
      <x:c r="I252" s="294" t="n">
        <x:f>IF('초등학교+병설유치원(8월)'!BE20="",0,'초등학교+병설유치원(8월)'!BE20)</x:f>
        <x:v>0</x:v>
      </x:c>
      <x:c r="J252" s="296" t="n">
        <x:f>SUM(E252:I252)</x:f>
        <x:v>4</x:v>
      </x:c>
      <x:c r="K252" s="291" t="str">
        <x:v>8월</x:v>
      </x:c>
    </x:row>
    <x:row r="253">
      <x:c r="A253" s="291" t="str">
        <x:f>IF('초등학교+병설유치원(8월)'!A20="","",'초등학교+병설유치원(8월)'!A20)</x:f>
        <x:v>10-1</x:v>
      </x:c>
      <x:c r="B253" s="291" t="str">
        <x:v>병설유치원</x:v>
      </x:c>
      <x:c r="C253" s="291" t="str">
        <x:f>IF('초등학교+병설유치원(8월)'!B20="","",'초등학교+병설유치원(8월)'!B20)</x:f>
        <x:v>이리마한초 병설유치원</x:v>
      </x:c>
      <x:c r="D253" s="293" t="n">
        <x:v>46246</x:v>
      </x:c>
      <x:c r="E253" s="294" t="n">
        <x:f>IF('초등학교+병설유치원(8월)'!BG20="",0,'초등학교+병설유치원(8월)'!BG20)</x:f>
        <x:v>4</x:v>
      </x:c>
      <x:c r="F253" s="294" t="n">
        <x:f>IF('초등학교+병설유치원(8월)'!BH20="",0,'초등학교+병설유치원(8월)'!BH20)</x:f>
        <x:v>0</x:v>
      </x:c>
      <x:c r="G253" s="294" t="n">
        <x:f>IF('초등학교+병설유치원(8월)'!BI20="",0,'초등학교+병설유치원(8월)'!BI20)</x:f>
        <x:v>0</x:v>
      </x:c>
      <x:c r="H253" s="294" t="n">
        <x:f>IF('초등학교+병설유치원(8월)'!BJ20="",0,'초등학교+병설유치원(8월)'!BJ20)</x:f>
        <x:v>0</x:v>
      </x:c>
      <x:c r="I253" s="294" t="n">
        <x:f>IF('초등학교+병설유치원(8월)'!BK20="",0,'초등학교+병설유치원(8월)'!BK20)</x:f>
        <x:v>0</x:v>
      </x:c>
      <x:c r="J253" s="296" t="n">
        <x:f>SUM(E253:I253)</x:f>
        <x:v>4</x:v>
      </x:c>
      <x:c r="K253" s="291" t="str">
        <x:v>8월</x:v>
      </x:c>
    </x:row>
    <x:row r="254">
      <x:c r="A254" s="291" t="str">
        <x:f>IF('초등학교+병설유치원(8월)'!A20="","",'초등학교+병설유치원(8월)'!A20)</x:f>
        <x:v>10-1</x:v>
      </x:c>
      <x:c r="B254" s="291" t="str">
        <x:v>병설유치원</x:v>
      </x:c>
      <x:c r="C254" s="291" t="str">
        <x:f>IF('초등학교+병설유치원(8월)'!B20="","",'초등학교+병설유치원(8월)'!B20)</x:f>
        <x:v>이리마한초 병설유치원</x:v>
      </x:c>
      <x:c r="D254" s="293" t="n">
        <x:v>46247</x:v>
      </x:c>
      <x:c r="E254" s="294" t="n">
        <x:f>IF('초등학교+병설유치원(8월)'!BM20="",0,'초등학교+병설유치원(8월)'!BM20)</x:f>
        <x:v>4</x:v>
      </x:c>
      <x:c r="F254" s="294" t="n">
        <x:f>IF('초등학교+병설유치원(8월)'!BN20="",0,'초등학교+병설유치원(8월)'!BN20)</x:f>
        <x:v>0</x:v>
      </x:c>
      <x:c r="G254" s="294" t="n">
        <x:f>IF('초등학교+병설유치원(8월)'!BO20="",0,'초등학교+병설유치원(8월)'!BO20)</x:f>
        <x:v>0</x:v>
      </x:c>
      <x:c r="H254" s="294" t="n">
        <x:f>IF('초등학교+병설유치원(8월)'!BP20="",0,'초등학교+병설유치원(8월)'!BP20)</x:f>
        <x:v>0</x:v>
      </x:c>
      <x:c r="I254" s="294" t="n">
        <x:f>IF('초등학교+병설유치원(8월)'!BQ20="",0,'초등학교+병설유치원(8월)'!BQ20)</x:f>
        <x:v>0</x:v>
      </x:c>
      <x:c r="J254" s="296" t="n">
        <x:f>SUM(E254:I254)</x:f>
        <x:v>4</x:v>
      </x:c>
      <x:c r="K254" s="291" t="str">
        <x:v>8월</x:v>
      </x:c>
    </x:row>
    <x:row r="255">
      <x:c r="A255" s="291" t="str">
        <x:f>IF('초등학교+병설유치원(8월)'!A20="","",'초등학교+병설유치원(8월)'!A20)</x:f>
        <x:v>10-1</x:v>
      </x:c>
      <x:c r="B255" s="291" t="str">
        <x:v>병설유치원</x:v>
      </x:c>
      <x:c r="C255" s="291" t="str">
        <x:f>IF('초등학교+병설유치원(8월)'!B20="","",'초등학교+병설유치원(8월)'!B20)</x:f>
        <x:v>이리마한초 병설유치원</x:v>
      </x:c>
      <x:c r="D255" s="293" t="n">
        <x:v>46248</x:v>
      </x:c>
      <x:c r="E255" s="294" t="n">
        <x:f>IF('초등학교+병설유치원(8월)'!BS20="",0,'초등학교+병설유치원(8월)'!BS20)</x:f>
        <x:v>4</x:v>
      </x:c>
      <x:c r="F255" s="294" t="n">
        <x:f>IF('초등학교+병설유치원(8월)'!BT20="",0,'초등학교+병설유치원(8월)'!BT20)</x:f>
        <x:v>0</x:v>
      </x:c>
      <x:c r="G255" s="294" t="n">
        <x:f>IF('초등학교+병설유치원(8월)'!BU20="",0,'초등학교+병설유치원(8월)'!BU20)</x:f>
        <x:v>0</x:v>
      </x:c>
      <x:c r="H255" s="294" t="n">
        <x:f>IF('초등학교+병설유치원(8월)'!BV20="",0,'초등학교+병설유치원(8월)'!BV20)</x:f>
        <x:v>0</x:v>
      </x:c>
      <x:c r="I255" s="294" t="n">
        <x:f>IF('초등학교+병설유치원(8월)'!BW20="",0,'초등학교+병설유치원(8월)'!BW20)</x:f>
        <x:v>0</x:v>
      </x:c>
      <x:c r="J255" s="296" t="n">
        <x:f>SUM(E255:I255)</x:f>
        <x:v>4</x:v>
      </x:c>
      <x:c r="K255" s="291" t="str">
        <x:v>8월</x:v>
      </x:c>
    </x:row>
    <x:row r="256">
      <x:c r="A256" s="291" t="str">
        <x:f>IF('초등학교+병설유치원(8월)'!A20="","",'초등학교+병설유치원(8월)'!A20)</x:f>
        <x:v>10-1</x:v>
      </x:c>
      <x:c r="B256" s="291" t="str">
        <x:v>병설유치원</x:v>
      </x:c>
      <x:c r="C256" s="291" t="str">
        <x:f>IF('초등학교+병설유치원(8월)'!B20="","",'초등학교+병설유치원(8월)'!B20)</x:f>
        <x:v>이리마한초 병설유치원</x:v>
      </x:c>
      <x:c r="D256" s="293" t="n">
        <x:v>46252</x:v>
      </x:c>
      <x:c r="E256" s="294" t="n">
        <x:f>IF('초등학교+병설유치원(8월)'!BY20="",0,'초등학교+병설유치원(8월)'!BY20)</x:f>
        <x:v>5</x:v>
      </x:c>
      <x:c r="F256" s="294" t="n">
        <x:f>IF('초등학교+병설유치원(8월)'!BZ20="",0,'초등학교+병설유치원(8월)'!BZ20)</x:f>
        <x:v>0</x:v>
      </x:c>
      <x:c r="G256" s="294" t="n">
        <x:f>IF('초등학교+병설유치원(8월)'!CA20="",0,'초등학교+병설유치원(8월)'!CA20)</x:f>
        <x:v>0</x:v>
      </x:c>
      <x:c r="H256" s="294" t="n">
        <x:f>IF('초등학교+병설유치원(8월)'!CB20="",0,'초등학교+병설유치원(8월)'!CB20)</x:f>
        <x:v>0</x:v>
      </x:c>
      <x:c r="I256" s="294" t="n">
        <x:f>IF('초등학교+병설유치원(8월)'!CC20="",0,'초등학교+병설유치원(8월)'!CC20)</x:f>
        <x:v>0</x:v>
      </x:c>
      <x:c r="J256" s="296" t="n">
        <x:f>SUM(E256:I256)</x:f>
        <x:v>5</x:v>
      </x:c>
      <x:c r="K256" s="291" t="str">
        <x:v>8월</x:v>
      </x:c>
    </x:row>
    <x:row r="257">
      <x:c r="A257" s="291" t="str">
        <x:f>IF('초등학교+병설유치원(8월)'!A20="","",'초등학교+병설유치원(8월)'!A20)</x:f>
        <x:v>10-1</x:v>
      </x:c>
      <x:c r="B257" s="291" t="str">
        <x:v>병설유치원</x:v>
      </x:c>
      <x:c r="C257" s="291" t="str">
        <x:f>IF('초등학교+병설유치원(8월)'!B20="","",'초등학교+병설유치원(8월)'!B20)</x:f>
        <x:v>이리마한초 병설유치원</x:v>
      </x:c>
      <x:c r="D257" s="293" t="n">
        <x:v>46253</x:v>
      </x:c>
      <x:c r="E257" s="294" t="n">
        <x:f>IF('초등학교+병설유치원(8월)'!CE20="",0,'초등학교+병설유치원(8월)'!CE20)</x:f>
        <x:v>5</x:v>
      </x:c>
      <x:c r="F257" s="294" t="n">
        <x:f>IF('초등학교+병설유치원(8월)'!CF20="",0,'초등학교+병설유치원(8월)'!CF20)</x:f>
        <x:v>0</x:v>
      </x:c>
      <x:c r="G257" s="294" t="n">
        <x:f>IF('초등학교+병설유치원(8월)'!CG20="",0,'초등학교+병설유치원(8월)'!CG20)</x:f>
        <x:v>0</x:v>
      </x:c>
      <x:c r="H257" s="294" t="n">
        <x:f>IF('초등학교+병설유치원(8월)'!CH20="",0,'초등학교+병설유치원(8월)'!CH20)</x:f>
        <x:v>0</x:v>
      </x:c>
      <x:c r="I257" s="294" t="n">
        <x:f>IF('초등학교+병설유치원(8월)'!CI20="",0,'초등학교+병설유치원(8월)'!CI20)</x:f>
        <x:v>0</x:v>
      </x:c>
      <x:c r="J257" s="296" t="n">
        <x:f>SUM(E257:I257)</x:f>
        <x:v>5</x:v>
      </x:c>
      <x:c r="K257" s="291" t="str">
        <x:v>8월</x:v>
      </x:c>
    </x:row>
    <x:row r="258">
      <x:c r="A258" s="291" t="str">
        <x:f>IF('초등학교+병설유치원(8월)'!A20="","",'초등학교+병설유치원(8월)'!A20)</x:f>
        <x:v>10-1</x:v>
      </x:c>
      <x:c r="B258" s="291" t="str">
        <x:v>병설유치원</x:v>
      </x:c>
      <x:c r="C258" s="291" t="str">
        <x:f>IF('초등학교+병설유치원(8월)'!B20="","",'초등학교+병설유치원(8월)'!B20)</x:f>
        <x:v>이리마한초 병설유치원</x:v>
      </x:c>
      <x:c r="D258" s="293" t="n">
        <x:v>46254</x:v>
      </x:c>
      <x:c r="E258" s="294" t="n">
        <x:f>IF('초등학교+병설유치원(8월)'!CK20="",0,'초등학교+병설유치원(8월)'!CK20)</x:f>
        <x:v>5</x:v>
      </x:c>
      <x:c r="F258" s="294" t="n">
        <x:f>IF('초등학교+병설유치원(8월)'!CL20="",0,'초등학교+병설유치원(8월)'!CL20)</x:f>
        <x:v>0</x:v>
      </x:c>
      <x:c r="G258" s="294" t="n">
        <x:f>IF('초등학교+병설유치원(8월)'!CM20="",0,'초등학교+병설유치원(8월)'!CM20)</x:f>
        <x:v>0</x:v>
      </x:c>
      <x:c r="H258" s="294" t="n">
        <x:f>IF('초등학교+병설유치원(8월)'!CN20="",0,'초등학교+병설유치원(8월)'!CN20)</x:f>
        <x:v>0</x:v>
      </x:c>
      <x:c r="I258" s="294" t="n">
        <x:f>IF('초등학교+병설유치원(8월)'!CO20="",0,'초등학교+병설유치원(8월)'!CO20)</x:f>
        <x:v>0</x:v>
      </x:c>
      <x:c r="J258" s="296" t="n">
        <x:f>SUM(E258:I258)</x:f>
        <x:v>5</x:v>
      </x:c>
      <x:c r="K258" s="291" t="str">
        <x:v>8월</x:v>
      </x:c>
    </x:row>
    <x:row r="259">
      <x:c r="A259" s="291" t="str">
        <x:f>IF('초등학교+병설유치원(8월)'!A20="","",'초등학교+병설유치원(8월)'!A20)</x:f>
        <x:v>10-1</x:v>
      </x:c>
      <x:c r="B259" s="291" t="str">
        <x:v>병설유치원</x:v>
      </x:c>
      <x:c r="C259" s="291" t="str">
        <x:f>IF('초등학교+병설유치원(8월)'!B20="","",'초등학교+병설유치원(8월)'!B20)</x:f>
        <x:v>이리마한초 병설유치원</x:v>
      </x:c>
      <x:c r="D259" s="293" t="n">
        <x:v>46255</x:v>
      </x:c>
      <x:c r="E259" s="294" t="n">
        <x:f>IF('초등학교+병설유치원(8월)'!CQ20="",0,'초등학교+병설유치원(8월)'!CQ20)</x:f>
        <x:v>5</x:v>
      </x:c>
      <x:c r="F259" s="294" t="n">
        <x:f>IF('초등학교+병설유치원(8월)'!CR20="",0,'초등학교+병설유치원(8월)'!CR20)</x:f>
        <x:v>0</x:v>
      </x:c>
      <x:c r="G259" s="294" t="n">
        <x:f>IF('초등학교+병설유치원(8월)'!CS20="",0,'초등학교+병설유치원(8월)'!CS20)</x:f>
        <x:v>0</x:v>
      </x:c>
      <x:c r="H259" s="294" t="n">
        <x:f>IF('초등학교+병설유치원(8월)'!CT20="",0,'초등학교+병설유치원(8월)'!CT20)</x:f>
        <x:v>0</x:v>
      </x:c>
      <x:c r="I259" s="294" t="n">
        <x:f>IF('초등학교+병설유치원(8월)'!CU20="",0,'초등학교+병설유치원(8월)'!CU20)</x:f>
        <x:v>0</x:v>
      </x:c>
      <x:c r="J259" s="296" t="n">
        <x:f>SUM(E259:I259)</x:f>
        <x:v>5</x:v>
      </x:c>
      <x:c r="K259" s="291" t="str">
        <x:v>8월</x:v>
      </x:c>
    </x:row>
    <x:row r="260">
      <x:c r="A260" s="291" t="n">
        <x:f>IF('초등학교+병설유치원(8월)'!A21="","",'초등학교+병설유치원(8월)'!A21)</x:f>
        <x:v>11</x:v>
      </x:c>
      <x:c r="B260" s="291" t="str">
        <x:v>초등학교</x:v>
      </x:c>
      <x:c r="C260" s="291" t="str">
        <x:f>IF('초등학교+병설유치원(8월)'!B21="","",'초등학교+병설유치원(8월)'!B21)</x:f>
        <x:v>이리모현초</x:v>
      </x:c>
      <x:c r="D260" s="293" t="n">
        <x:v>46237</x:v>
      </x:c>
      <x:c r="E260" s="294" t="n">
        <x:f>IF('초등학교+병설유치원(8월)'!Q21="",0,'초등학교+병설유치원(8월)'!Q21)</x:f>
        <x:v>20</x:v>
      </x:c>
      <x:c r="F260" s="294" t="n">
        <x:f>IF('초등학교+병설유치원(8월)'!R21="",0,'초등학교+병설유치원(8월)'!R21)</x:f>
        <x:v>20</x:v>
      </x:c>
      <x:c r="G260" s="294" t="n">
        <x:f>IF('초등학교+병설유치원(8월)'!S21="",0,'초등학교+병설유치원(8월)'!S21)</x:f>
        <x:v>18</x:v>
      </x:c>
      <x:c r="H260" s="294" t="n">
        <x:f>IF('초등학교+병설유치원(8월)'!T21="",0,'초등학교+병설유치원(8월)'!T21)</x:f>
        <x:v>20</x:v>
      </x:c>
      <x:c r="I260" s="294" t="n">
        <x:f>IF('초등학교+병설유치원(8월)'!U21="",0,'초등학교+병설유치원(8월)'!U21)</x:f>
        <x:v>0</x:v>
      </x:c>
      <x:c r="J260" s="296" t="n">
        <x:f>SUM(E260:I260)</x:f>
        <x:v>78</x:v>
      </x:c>
      <x:c r="K260" s="291" t="str">
        <x:v>8월</x:v>
      </x:c>
    </x:row>
    <x:row r="261">
      <x:c r="A261" s="291" t="n">
        <x:f>IF('초등학교+병설유치원(8월)'!A21="","",'초등학교+병설유치원(8월)'!A21)</x:f>
        <x:v>11</x:v>
      </x:c>
      <x:c r="B261" s="291" t="str">
        <x:v>초등학교</x:v>
      </x:c>
      <x:c r="C261" s="291" t="str">
        <x:f>IF('초등학교+병설유치원(8월)'!B21="","",'초등학교+병설유치원(8월)'!B21)</x:f>
        <x:v>이리모현초</x:v>
      </x:c>
      <x:c r="D261" s="293" t="n">
        <x:v>46238</x:v>
      </x:c>
      <x:c r="E261" s="294" t="n">
        <x:f>IF('초등학교+병설유치원(8월)'!W21="",0,'초등학교+병설유치원(8월)'!W21)</x:f>
        <x:v>20</x:v>
      </x:c>
      <x:c r="F261" s="294" t="n">
        <x:f>IF('초등학교+병설유치원(8월)'!X21="",0,'초등학교+병설유치원(8월)'!X21)</x:f>
        <x:v>20</x:v>
      </x:c>
      <x:c r="G261" s="294" t="n">
        <x:f>IF('초등학교+병설유치원(8월)'!Y21="",0,'초등학교+병설유치원(8월)'!Y21)</x:f>
        <x:v>18</x:v>
      </x:c>
      <x:c r="H261" s="294" t="n">
        <x:f>IF('초등학교+병설유치원(8월)'!Z21="",0,'초등학교+병설유치원(8월)'!Z21)</x:f>
        <x:v>20</x:v>
      </x:c>
      <x:c r="I261" s="294" t="n">
        <x:f>IF('초등학교+병설유치원(8월)'!AA21="",0,'초등학교+병설유치원(8월)'!AA21)</x:f>
        <x:v>0</x:v>
      </x:c>
      <x:c r="J261" s="296" t="n">
        <x:f>SUM(E261:I261)</x:f>
        <x:v>78</x:v>
      </x:c>
      <x:c r="K261" s="291" t="str">
        <x:v>8월</x:v>
      </x:c>
    </x:row>
    <x:row r="262">
      <x:c r="A262" s="291" t="n">
        <x:f>IF('초등학교+병설유치원(8월)'!A21="","",'초등학교+병설유치원(8월)'!A21)</x:f>
        <x:v>11</x:v>
      </x:c>
      <x:c r="B262" s="291" t="str">
        <x:v>초등학교</x:v>
      </x:c>
      <x:c r="C262" s="291" t="str">
        <x:f>IF('초등학교+병설유치원(8월)'!B21="","",'초등학교+병설유치원(8월)'!B21)</x:f>
        <x:v>이리모현초</x:v>
      </x:c>
      <x:c r="D262" s="293" t="n">
        <x:v>46239</x:v>
      </x:c>
      <x:c r="E262" s="294" t="n">
        <x:f>IF('초등학교+병설유치원(8월)'!AC21="",0,'초등학교+병설유치원(8월)'!AC21)</x:f>
        <x:v>20</x:v>
      </x:c>
      <x:c r="F262" s="294" t="n">
        <x:f>IF('초등학교+병설유치원(8월)'!AD21="",0,'초등학교+병설유치원(8월)'!AD21)</x:f>
        <x:v>20</x:v>
      </x:c>
      <x:c r="G262" s="294" t="n">
        <x:f>IF('초등학교+병설유치원(8월)'!AE21="",0,'초등학교+병설유치원(8월)'!AE21)</x:f>
        <x:v>18</x:v>
      </x:c>
      <x:c r="H262" s="294" t="n">
        <x:f>IF('초등학교+병설유치원(8월)'!AF21="",0,'초등학교+병설유치원(8월)'!AF21)</x:f>
        <x:v>20</x:v>
      </x:c>
      <x:c r="I262" s="294" t="n">
        <x:f>IF('초등학교+병설유치원(8월)'!AG21="",0,'초등학교+병설유치원(8월)'!AG21)</x:f>
        <x:v>0</x:v>
      </x:c>
      <x:c r="J262" s="296" t="n">
        <x:f>SUM(E262:I262)</x:f>
        <x:v>78</x:v>
      </x:c>
      <x:c r="K262" s="291" t="str">
        <x:v>8월</x:v>
      </x:c>
    </x:row>
    <x:row r="263">
      <x:c r="A263" s="291" t="n">
        <x:f>IF('초등학교+병설유치원(8월)'!A21="","",'초등학교+병설유치원(8월)'!A21)</x:f>
        <x:v>11</x:v>
      </x:c>
      <x:c r="B263" s="291" t="str">
        <x:v>초등학교</x:v>
      </x:c>
      <x:c r="C263" s="291" t="str">
        <x:f>IF('초등학교+병설유치원(8월)'!B21="","",'초등학교+병설유치원(8월)'!B21)</x:f>
        <x:v>이리모현초</x:v>
      </x:c>
      <x:c r="D263" s="293" t="n">
        <x:v>46240</x:v>
      </x:c>
      <x:c r="E263" s="294" t="n">
        <x:f>IF('초등학교+병설유치원(8월)'!AI21="",0,'초등학교+병설유치원(8월)'!AI21)</x:f>
        <x:v>20</x:v>
      </x:c>
      <x:c r="F263" s="294" t="n">
        <x:f>IF('초등학교+병설유치원(8월)'!AJ21="",0,'초등학교+병설유치원(8월)'!AJ21)</x:f>
        <x:v>20</x:v>
      </x:c>
      <x:c r="G263" s="294" t="n">
        <x:f>IF('초등학교+병설유치원(8월)'!AK21="",0,'초등학교+병설유치원(8월)'!AK21)</x:f>
        <x:v>18</x:v>
      </x:c>
      <x:c r="H263" s="294" t="n">
        <x:f>IF('초등학교+병설유치원(8월)'!AL21="",0,'초등학교+병설유치원(8월)'!AL21)</x:f>
        <x:v>20</x:v>
      </x:c>
      <x:c r="I263" s="294" t="n">
        <x:f>IF('초등학교+병설유치원(8월)'!AM21="",0,'초등학교+병설유치원(8월)'!AM21)</x:f>
        <x:v>0</x:v>
      </x:c>
      <x:c r="J263" s="296" t="n">
        <x:f>SUM(E263:I263)</x:f>
        <x:v>78</x:v>
      </x:c>
      <x:c r="K263" s="291" t="str">
        <x:v>8월</x:v>
      </x:c>
    </x:row>
    <x:row r="264">
      <x:c r="A264" s="291" t="n">
        <x:f>IF('초등학교+병설유치원(8월)'!A21="","",'초등학교+병설유치원(8월)'!A21)</x:f>
        <x:v>11</x:v>
      </x:c>
      <x:c r="B264" s="291" t="str">
        <x:v>초등학교</x:v>
      </x:c>
      <x:c r="C264" s="291" t="str">
        <x:f>IF('초등학교+병설유치원(8월)'!B21="","",'초등학교+병설유치원(8월)'!B21)</x:f>
        <x:v>이리모현초</x:v>
      </x:c>
      <x:c r="D264" s="293" t="n">
        <x:v>46241</x:v>
      </x:c>
      <x:c r="E264" s="294" t="n">
        <x:f>IF('초등학교+병설유치원(8월)'!AO21="",0,'초등학교+병설유치원(8월)'!AO21)</x:f>
        <x:v>20</x:v>
      </x:c>
      <x:c r="F264" s="294" t="n">
        <x:f>IF('초등학교+병설유치원(8월)'!AP21="",0,'초등학교+병설유치원(8월)'!AP21)</x:f>
        <x:v>20</x:v>
      </x:c>
      <x:c r="G264" s="294" t="n">
        <x:f>IF('초등학교+병설유치원(8월)'!AQ21="",0,'초등학교+병설유치원(8월)'!AQ21)</x:f>
        <x:v>18</x:v>
      </x:c>
      <x:c r="H264" s="294" t="n">
        <x:f>IF('초등학교+병설유치원(8월)'!AR21="",0,'초등학교+병설유치원(8월)'!AR21)</x:f>
        <x:v>20</x:v>
      </x:c>
      <x:c r="I264" s="294" t="n">
        <x:f>IF('초등학교+병설유치원(8월)'!AS21="",0,'초등학교+병설유치원(8월)'!AS21)</x:f>
        <x:v>0</x:v>
      </x:c>
      <x:c r="J264" s="296" t="n">
        <x:f>SUM(E264:I264)</x:f>
        <x:v>78</x:v>
      </x:c>
      <x:c r="K264" s="291" t="str">
        <x:v>8월</x:v>
      </x:c>
    </x:row>
    <x:row r="265">
      <x:c r="A265" s="291" t="n">
        <x:f>IF('초등학교+병설유치원(8월)'!A21="","",'초등학교+병설유치원(8월)'!A21)</x:f>
        <x:v>11</x:v>
      </x:c>
      <x:c r="B265" s="291" t="str">
        <x:v>초등학교</x:v>
      </x:c>
      <x:c r="C265" s="291" t="str">
        <x:f>IF('초등학교+병설유치원(8월)'!B21="","",'초등학교+병설유치원(8월)'!B21)</x:f>
        <x:v>이리모현초</x:v>
      </x:c>
      <x:c r="D265" s="293" t="n">
        <x:v>46244</x:v>
      </x:c>
      <x:c r="E265" s="294" t="n">
        <x:f>IF('초등학교+병설유치원(8월)'!AU21="",0,'초등학교+병설유치원(8월)'!AU21)</x:f>
        <x:v>20</x:v>
      </x:c>
      <x:c r="F265" s="294" t="n">
        <x:f>IF('초등학교+병설유치원(8월)'!AV21="",0,'초등학교+병설유치원(8월)'!AV21)</x:f>
        <x:v>20</x:v>
      </x:c>
      <x:c r="G265" s="294" t="n">
        <x:f>IF('초등학교+병설유치원(8월)'!AW21="",0,'초등학교+병설유치원(8월)'!AW21)</x:f>
        <x:v>18</x:v>
      </x:c>
      <x:c r="H265" s="294" t="n">
        <x:f>IF('초등학교+병설유치원(8월)'!AX21="",0,'초등학교+병설유치원(8월)'!AX21)</x:f>
        <x:v>20</x:v>
      </x:c>
      <x:c r="I265" s="294" t="n">
        <x:f>IF('초등학교+병설유치원(8월)'!AY21="",0,'초등학교+병설유치원(8월)'!AY21)</x:f>
        <x:v>0</x:v>
      </x:c>
      <x:c r="J265" s="296" t="n">
        <x:f>SUM(E265:I265)</x:f>
        <x:v>78</x:v>
      </x:c>
      <x:c r="K265" s="291" t="str">
        <x:v>8월</x:v>
      </x:c>
    </x:row>
    <x:row r="266">
      <x:c r="A266" s="291" t="n">
        <x:f>IF('초등학교+병설유치원(8월)'!A21="","",'초등학교+병설유치원(8월)'!A21)</x:f>
        <x:v>11</x:v>
      </x:c>
      <x:c r="B266" s="291" t="str">
        <x:v>초등학교</x:v>
      </x:c>
      <x:c r="C266" s="291" t="str">
        <x:f>IF('초등학교+병설유치원(8월)'!B21="","",'초등학교+병설유치원(8월)'!B21)</x:f>
        <x:v>이리모현초</x:v>
      </x:c>
      <x:c r="D266" s="293" t="n">
        <x:v>46245</x:v>
      </x:c>
      <x:c r="E266" s="294" t="n">
        <x:f>IF('초등학교+병설유치원(8월)'!BA21="",0,'초등학교+병설유치원(8월)'!BA21)</x:f>
        <x:v>20</x:v>
      </x:c>
      <x:c r="F266" s="294" t="n">
        <x:f>IF('초등학교+병설유치원(8월)'!BB21="",0,'초등학교+병설유치원(8월)'!BB21)</x:f>
        <x:v>20</x:v>
      </x:c>
      <x:c r="G266" s="294" t="n">
        <x:f>IF('초등학교+병설유치원(8월)'!BC21="",0,'초등학교+병설유치원(8월)'!BC21)</x:f>
        <x:v>18</x:v>
      </x:c>
      <x:c r="H266" s="294" t="n">
        <x:f>IF('초등학교+병설유치원(8월)'!BD21="",0,'초등학교+병설유치원(8월)'!BD21)</x:f>
        <x:v>20</x:v>
      </x:c>
      <x:c r="I266" s="294" t="n">
        <x:f>IF('초등학교+병설유치원(8월)'!BE21="",0,'초등학교+병설유치원(8월)'!BE21)</x:f>
        <x:v>0</x:v>
      </x:c>
      <x:c r="J266" s="296" t="n">
        <x:f>SUM(E266:I266)</x:f>
        <x:v>78</x:v>
      </x:c>
      <x:c r="K266" s="291" t="str">
        <x:v>8월</x:v>
      </x:c>
    </x:row>
    <x:row r="267">
      <x:c r="A267" s="291" t="n">
        <x:f>IF('초등학교+병설유치원(8월)'!A21="","",'초등학교+병설유치원(8월)'!A21)</x:f>
        <x:v>11</x:v>
      </x:c>
      <x:c r="B267" s="291" t="str">
        <x:v>초등학교</x:v>
      </x:c>
      <x:c r="C267" s="291" t="str">
        <x:f>IF('초등학교+병설유치원(8월)'!B21="","",'초등학교+병설유치원(8월)'!B21)</x:f>
        <x:v>이리모현초</x:v>
      </x:c>
      <x:c r="D267" s="293" t="n">
        <x:v>46246</x:v>
      </x:c>
      <x:c r="E267" s="294" t="n">
        <x:f>IF('초등학교+병설유치원(8월)'!BG21="",0,'초등학교+병설유치원(8월)'!BG21)</x:f>
        <x:v>20</x:v>
      </x:c>
      <x:c r="F267" s="294" t="n">
        <x:f>IF('초등학교+병설유치원(8월)'!BH21="",0,'초등학교+병설유치원(8월)'!BH21)</x:f>
        <x:v>20</x:v>
      </x:c>
      <x:c r="G267" s="294" t="n">
        <x:f>IF('초등학교+병설유치원(8월)'!BI21="",0,'초등학교+병설유치원(8월)'!BI21)</x:f>
        <x:v>18</x:v>
      </x:c>
      <x:c r="H267" s="294" t="n">
        <x:f>IF('초등학교+병설유치원(8월)'!BJ21="",0,'초등학교+병설유치원(8월)'!BJ21)</x:f>
        <x:v>20</x:v>
      </x:c>
      <x:c r="I267" s="294" t="n">
        <x:f>IF('초등학교+병설유치원(8월)'!BK21="",0,'초등학교+병설유치원(8월)'!BK21)</x:f>
        <x:v>0</x:v>
      </x:c>
      <x:c r="J267" s="296" t="n">
        <x:f>SUM(E267:I267)</x:f>
        <x:v>78</x:v>
      </x:c>
      <x:c r="K267" s="291" t="str">
        <x:v>8월</x:v>
      </x:c>
    </x:row>
    <x:row r="268">
      <x:c r="A268" s="291" t="n">
        <x:f>IF('초등학교+병설유치원(8월)'!A21="","",'초등학교+병설유치원(8월)'!A21)</x:f>
        <x:v>11</x:v>
      </x:c>
      <x:c r="B268" s="291" t="str">
        <x:v>초등학교</x:v>
      </x:c>
      <x:c r="C268" s="291" t="str">
        <x:f>IF('초등학교+병설유치원(8월)'!B21="","",'초등학교+병설유치원(8월)'!B21)</x:f>
        <x:v>이리모현초</x:v>
      </x:c>
      <x:c r="D268" s="293" t="n">
        <x:v>46247</x:v>
      </x:c>
      <x:c r="E268" s="294" t="n">
        <x:f>IF('초등학교+병설유치원(8월)'!BM21="",0,'초등학교+병설유치원(8월)'!BM21)</x:f>
        <x:v>20</x:v>
      </x:c>
      <x:c r="F268" s="294" t="n">
        <x:f>IF('초등학교+병설유치원(8월)'!BN21="",0,'초등학교+병설유치원(8월)'!BN21)</x:f>
        <x:v>20</x:v>
      </x:c>
      <x:c r="G268" s="294" t="n">
        <x:f>IF('초등학교+병설유치원(8월)'!BO21="",0,'초등학교+병설유치원(8월)'!BO21)</x:f>
        <x:v>18</x:v>
      </x:c>
      <x:c r="H268" s="294" t="n">
        <x:f>IF('초등학교+병설유치원(8월)'!BP21="",0,'초등학교+병설유치원(8월)'!BP21)</x:f>
        <x:v>20</x:v>
      </x:c>
      <x:c r="I268" s="294" t="n">
        <x:f>IF('초등학교+병설유치원(8월)'!BQ21="",0,'초등학교+병설유치원(8월)'!BQ21)</x:f>
        <x:v>0</x:v>
      </x:c>
      <x:c r="J268" s="296" t="n">
        <x:f>SUM(E268:I268)</x:f>
        <x:v>78</x:v>
      </x:c>
      <x:c r="K268" s="291" t="str">
        <x:v>8월</x:v>
      </x:c>
    </x:row>
    <x:row r="269">
      <x:c r="A269" s="291" t="n">
        <x:f>IF('초등학교+병설유치원(8월)'!A21="","",'초등학교+병설유치원(8월)'!A21)</x:f>
        <x:v>11</x:v>
      </x:c>
      <x:c r="B269" s="291" t="str">
        <x:v>초등학교</x:v>
      </x:c>
      <x:c r="C269" s="291" t="str">
        <x:f>IF('초등학교+병설유치원(8월)'!B21="","",'초등학교+병설유치원(8월)'!B21)</x:f>
        <x:v>이리모현초</x:v>
      </x:c>
      <x:c r="D269" s="293" t="n">
        <x:v>46248</x:v>
      </x:c>
      <x:c r="E269" s="294" t="n">
        <x:f>IF('초등학교+병설유치원(8월)'!BS21="",0,'초등학교+병설유치원(8월)'!BS21)</x:f>
        <x:v>20</x:v>
      </x:c>
      <x:c r="F269" s="294" t="n">
        <x:f>IF('초등학교+병설유치원(8월)'!BT21="",0,'초등학교+병설유치원(8월)'!BT21)</x:f>
        <x:v>20</x:v>
      </x:c>
      <x:c r="G269" s="294" t="n">
        <x:f>IF('초등학교+병설유치원(8월)'!BU21="",0,'초등학교+병설유치원(8월)'!BU21)</x:f>
        <x:v>18</x:v>
      </x:c>
      <x:c r="H269" s="294" t="n">
        <x:f>IF('초등학교+병설유치원(8월)'!BV21="",0,'초등학교+병설유치원(8월)'!BV21)</x:f>
        <x:v>20</x:v>
      </x:c>
      <x:c r="I269" s="294" t="n">
        <x:f>IF('초등학교+병설유치원(8월)'!BW21="",0,'초등학교+병설유치원(8월)'!BW21)</x:f>
        <x:v>0</x:v>
      </x:c>
      <x:c r="J269" s="296" t="n">
        <x:f>SUM(E269:I269)</x:f>
        <x:v>78</x:v>
      </x:c>
      <x:c r="K269" s="291" t="str">
        <x:v>8월</x:v>
      </x:c>
    </x:row>
    <x:row r="270">
      <x:c r="A270" s="291" t="n">
        <x:f>IF('초등학교+병설유치원(8월)'!A22="","",'초등학교+병설유치원(8월)'!A22)</x:f>
        <x:v>12</x:v>
      </x:c>
      <x:c r="B270" s="291" t="str">
        <x:v>초등학교</x:v>
      </x:c>
      <x:c r="C270" s="291" t="str">
        <x:f>IF('초등학교+병설유치원(8월)'!B22="","",'초등학교+병설유치원(8월)'!B22)</x:f>
        <x:v>이리백제초</x:v>
      </x:c>
      <x:c r="D270" s="293" t="n">
        <x:v>46237</x:v>
      </x:c>
      <x:c r="E270" s="294" t="n">
        <x:f>IF('초등학교+병설유치원(8월)'!Q22="",0,'초등학교+병설유치원(8월)'!Q22)</x:f>
        <x:v>13</x:v>
      </x:c>
      <x:c r="F270" s="294" t="n">
        <x:f>IF('초등학교+병설유치원(8월)'!R22="",0,'초등학교+병설유치원(8월)'!R22)</x:f>
        <x:v>11</x:v>
      </x:c>
      <x:c r="G270" s="294" t="n">
        <x:f>IF('초등학교+병설유치원(8월)'!S22="",0,'초등학교+병설유치원(8월)'!S22)</x:f>
        <x:v>0</x:v>
      </x:c>
      <x:c r="H270" s="294" t="n">
        <x:f>IF('초등학교+병설유치원(8월)'!T22="",0,'초등학교+병설유치원(8월)'!T22)</x:f>
        <x:v>0</x:v>
      </x:c>
      <x:c r="I270" s="294" t="n">
        <x:f>IF('초등학교+병설유치원(8월)'!U22="",0,'초등학교+병설유치원(8월)'!U22)</x:f>
        <x:v>0</x:v>
      </x:c>
      <x:c r="J270" s="296" t="n">
        <x:f>SUM(E270:I270)</x:f>
        <x:v>24</x:v>
      </x:c>
      <x:c r="K270" s="291" t="str">
        <x:v>8월</x:v>
      </x:c>
    </x:row>
    <x:row r="271">
      <x:c r="A271" s="291" t="n">
        <x:f>IF('초등학교+병설유치원(8월)'!A22="","",'초등학교+병설유치원(8월)'!A22)</x:f>
        <x:v>12</x:v>
      </x:c>
      <x:c r="B271" s="291" t="str">
        <x:v>초등학교</x:v>
      </x:c>
      <x:c r="C271" s="291" t="str">
        <x:f>IF('초등학교+병설유치원(8월)'!B22="","",'초등학교+병설유치원(8월)'!B22)</x:f>
        <x:v>이리백제초</x:v>
      </x:c>
      <x:c r="D271" s="293" t="n">
        <x:v>46238</x:v>
      </x:c>
      <x:c r="E271" s="294" t="n">
        <x:f>IF('초등학교+병설유치원(8월)'!W22="",0,'초등학교+병설유치원(8월)'!W22)</x:f>
        <x:v>13</x:v>
      </x:c>
      <x:c r="F271" s="294" t="n">
        <x:f>IF('초등학교+병설유치원(8월)'!X22="",0,'초등학교+병설유치원(8월)'!X22)</x:f>
        <x:v>11</x:v>
      </x:c>
      <x:c r="G271" s="294" t="n">
        <x:f>IF('초등학교+병설유치원(8월)'!Y22="",0,'초등학교+병설유치원(8월)'!Y22)</x:f>
        <x:v>0</x:v>
      </x:c>
      <x:c r="H271" s="294" t="n">
        <x:f>IF('초등학교+병설유치원(8월)'!Z22="",0,'초등학교+병설유치원(8월)'!Z22)</x:f>
        <x:v>0</x:v>
      </x:c>
      <x:c r="I271" s="294" t="n">
        <x:f>IF('초등학교+병설유치원(8월)'!AA22="",0,'초등학교+병설유치원(8월)'!AA22)</x:f>
        <x:v>0</x:v>
      </x:c>
      <x:c r="J271" s="296" t="n">
        <x:f>SUM(E271:I271)</x:f>
        <x:v>24</x:v>
      </x:c>
      <x:c r="K271" s="291" t="str">
        <x:v>8월</x:v>
      </x:c>
    </x:row>
    <x:row r="272">
      <x:c r="A272" s="291" t="n">
        <x:f>IF('초등학교+병설유치원(8월)'!A22="","",'초등학교+병설유치원(8월)'!A22)</x:f>
        <x:v>12</x:v>
      </x:c>
      <x:c r="B272" s="291" t="str">
        <x:v>초등학교</x:v>
      </x:c>
      <x:c r="C272" s="291" t="str">
        <x:f>IF('초등학교+병설유치원(8월)'!B22="","",'초등학교+병설유치원(8월)'!B22)</x:f>
        <x:v>이리백제초</x:v>
      </x:c>
      <x:c r="D272" s="293" t="n">
        <x:v>46239</x:v>
      </x:c>
      <x:c r="E272" s="294" t="n">
        <x:f>IF('초등학교+병설유치원(8월)'!AC22="",0,'초등학교+병설유치원(8월)'!AC22)</x:f>
        <x:v>13</x:v>
      </x:c>
      <x:c r="F272" s="294" t="n">
        <x:f>IF('초등학교+병설유치원(8월)'!AD22="",0,'초등학교+병설유치원(8월)'!AD22)</x:f>
        <x:v>11</x:v>
      </x:c>
      <x:c r="G272" s="294" t="n">
        <x:f>IF('초등학교+병설유치원(8월)'!AE22="",0,'초등학교+병설유치원(8월)'!AE22)</x:f>
        <x:v>0</x:v>
      </x:c>
      <x:c r="H272" s="294" t="n">
        <x:f>IF('초등학교+병설유치원(8월)'!AF22="",0,'초등학교+병설유치원(8월)'!AF22)</x:f>
        <x:v>0</x:v>
      </x:c>
      <x:c r="I272" s="294" t="n">
        <x:f>IF('초등학교+병설유치원(8월)'!AG22="",0,'초등학교+병설유치원(8월)'!AG22)</x:f>
        <x:v>0</x:v>
      </x:c>
      <x:c r="J272" s="296" t="n">
        <x:f>SUM(E272:I272)</x:f>
        <x:v>24</x:v>
      </x:c>
      <x:c r="K272" s="291" t="str">
        <x:v>8월</x:v>
      </x:c>
    </x:row>
    <x:row r="273">
      <x:c r="A273" s="291" t="n">
        <x:f>IF('초등학교+병설유치원(8월)'!A22="","",'초등학교+병설유치원(8월)'!A22)</x:f>
        <x:v>12</x:v>
      </x:c>
      <x:c r="B273" s="291" t="str">
        <x:v>초등학교</x:v>
      </x:c>
      <x:c r="C273" s="291" t="str">
        <x:f>IF('초등학교+병설유치원(8월)'!B22="","",'초등학교+병설유치원(8월)'!B22)</x:f>
        <x:v>이리백제초</x:v>
      </x:c>
      <x:c r="D273" s="293" t="n">
        <x:v>46240</x:v>
      </x:c>
      <x:c r="E273" s="294" t="n">
        <x:f>IF('초등학교+병설유치원(8월)'!AI22="",0,'초등학교+병설유치원(8월)'!AI22)</x:f>
        <x:v>13</x:v>
      </x:c>
      <x:c r="F273" s="294" t="n">
        <x:f>IF('초등학교+병설유치원(8월)'!AJ22="",0,'초등학교+병설유치원(8월)'!AJ22)</x:f>
        <x:v>11</x:v>
      </x:c>
      <x:c r="G273" s="294" t="n">
        <x:f>IF('초등학교+병설유치원(8월)'!AK22="",0,'초등학교+병설유치원(8월)'!AK22)</x:f>
        <x:v>0</x:v>
      </x:c>
      <x:c r="H273" s="294" t="n">
        <x:f>IF('초등학교+병설유치원(8월)'!AL22="",0,'초등학교+병설유치원(8월)'!AL22)</x:f>
        <x:v>0</x:v>
      </x:c>
      <x:c r="I273" s="294" t="n">
        <x:f>IF('초등학교+병설유치원(8월)'!AM22="",0,'초등학교+병설유치원(8월)'!AM22)</x:f>
        <x:v>0</x:v>
      </x:c>
      <x:c r="J273" s="296" t="n">
        <x:f>SUM(E273:I273)</x:f>
        <x:v>24</x:v>
      </x:c>
      <x:c r="K273" s="291" t="str">
        <x:v>8월</x:v>
      </x:c>
    </x:row>
    <x:row r="274">
      <x:c r="A274" s="291" t="n">
        <x:f>IF('초등학교+병설유치원(8월)'!A22="","",'초등학교+병설유치원(8월)'!A22)</x:f>
        <x:v>12</x:v>
      </x:c>
      <x:c r="B274" s="291" t="str">
        <x:v>초등학교</x:v>
      </x:c>
      <x:c r="C274" s="291" t="str">
        <x:f>IF('초등학교+병설유치원(8월)'!B22="","",'초등학교+병설유치원(8월)'!B22)</x:f>
        <x:v>이리백제초</x:v>
      </x:c>
      <x:c r="D274" s="293" t="n">
        <x:v>46241</x:v>
      </x:c>
      <x:c r="E274" s="294" t="n">
        <x:f>IF('초등학교+병설유치원(8월)'!AO22="",0,'초등학교+병설유치원(8월)'!AO22)</x:f>
        <x:v>13</x:v>
      </x:c>
      <x:c r="F274" s="294" t="n">
        <x:f>IF('초등학교+병설유치원(8월)'!AP22="",0,'초등학교+병설유치원(8월)'!AP22)</x:f>
        <x:v>11</x:v>
      </x:c>
      <x:c r="G274" s="294" t="n">
        <x:f>IF('초등학교+병설유치원(8월)'!AQ22="",0,'초등학교+병설유치원(8월)'!AQ22)</x:f>
        <x:v>0</x:v>
      </x:c>
      <x:c r="H274" s="294" t="n">
        <x:f>IF('초등학교+병설유치원(8월)'!AR22="",0,'초등학교+병설유치원(8월)'!AR22)</x:f>
        <x:v>0</x:v>
      </x:c>
      <x:c r="I274" s="294" t="n">
        <x:f>IF('초등학교+병설유치원(8월)'!AS22="",0,'초등학교+병설유치원(8월)'!AS22)</x:f>
        <x:v>0</x:v>
      </x:c>
      <x:c r="J274" s="296" t="n">
        <x:f>SUM(E274:I274)</x:f>
        <x:v>24</x:v>
      </x:c>
      <x:c r="K274" s="291" t="str">
        <x:v>8월</x:v>
      </x:c>
    </x:row>
    <x:row r="275">
      <x:c r="A275" s="291" t="n">
        <x:f>IF('초등학교+병설유치원(8월)'!A22="","",'초등학교+병설유치원(8월)'!A22)</x:f>
        <x:v>12</x:v>
      </x:c>
      <x:c r="B275" s="291" t="str">
        <x:v>초등학교</x:v>
      </x:c>
      <x:c r="C275" s="291" t="str">
        <x:f>IF('초등학교+병설유치원(8월)'!B22="","",'초등학교+병설유치원(8월)'!B22)</x:f>
        <x:v>이리백제초</x:v>
      </x:c>
      <x:c r="D275" s="293" t="n">
        <x:v>46244</x:v>
      </x:c>
      <x:c r="E275" s="294" t="n">
        <x:f>IF('초등학교+병설유치원(8월)'!AU22="",0,'초등학교+병설유치원(8월)'!AU22)</x:f>
        <x:v>13</x:v>
      </x:c>
      <x:c r="F275" s="294" t="n">
        <x:f>IF('초등학교+병설유치원(8월)'!AV22="",0,'초등학교+병설유치원(8월)'!AV22)</x:f>
        <x:v>11</x:v>
      </x:c>
      <x:c r="G275" s="294" t="n">
        <x:f>IF('초등학교+병설유치원(8월)'!AW22="",0,'초등학교+병설유치원(8월)'!AW22)</x:f>
        <x:v>0</x:v>
      </x:c>
      <x:c r="H275" s="294" t="n">
        <x:f>IF('초등학교+병설유치원(8월)'!AX22="",0,'초등학교+병설유치원(8월)'!AX22)</x:f>
        <x:v>0</x:v>
      </x:c>
      <x:c r="I275" s="294" t="n">
        <x:f>IF('초등학교+병설유치원(8월)'!AY22="",0,'초등학교+병설유치원(8월)'!AY22)</x:f>
        <x:v>0</x:v>
      </x:c>
      <x:c r="J275" s="296" t="n">
        <x:f>SUM(E275:I275)</x:f>
        <x:v>24</x:v>
      </x:c>
      <x:c r="K275" s="291" t="str">
        <x:v>8월</x:v>
      </x:c>
    </x:row>
    <x:row r="276">
      <x:c r="A276" s="291" t="n">
        <x:f>IF('초등학교+병설유치원(8월)'!A22="","",'초등학교+병설유치원(8월)'!A22)</x:f>
        <x:v>12</x:v>
      </x:c>
      <x:c r="B276" s="291" t="str">
        <x:v>초등학교</x:v>
      </x:c>
      <x:c r="C276" s="291" t="str">
        <x:f>IF('초등학교+병설유치원(8월)'!B22="","",'초등학교+병설유치원(8월)'!B22)</x:f>
        <x:v>이리백제초</x:v>
      </x:c>
      <x:c r="D276" s="293" t="n">
        <x:v>46245</x:v>
      </x:c>
      <x:c r="E276" s="294" t="n">
        <x:f>IF('초등학교+병설유치원(8월)'!BA22="",0,'초등학교+병설유치원(8월)'!BA22)</x:f>
        <x:v>13</x:v>
      </x:c>
      <x:c r="F276" s="294" t="n">
        <x:f>IF('초등학교+병설유치원(8월)'!BB22="",0,'초등학교+병설유치원(8월)'!BB22)</x:f>
        <x:v>11</x:v>
      </x:c>
      <x:c r="G276" s="294" t="n">
        <x:f>IF('초등학교+병설유치원(8월)'!BC22="",0,'초등학교+병설유치원(8월)'!BC22)</x:f>
        <x:v>0</x:v>
      </x:c>
      <x:c r="H276" s="294" t="n">
        <x:f>IF('초등학교+병설유치원(8월)'!BD22="",0,'초등학교+병설유치원(8월)'!BD22)</x:f>
        <x:v>0</x:v>
      </x:c>
      <x:c r="I276" s="294" t="n">
        <x:f>IF('초등학교+병설유치원(8월)'!BE22="",0,'초등학교+병설유치원(8월)'!BE22)</x:f>
        <x:v>0</x:v>
      </x:c>
      <x:c r="J276" s="296" t="n">
        <x:f>SUM(E276:I276)</x:f>
        <x:v>24</x:v>
      </x:c>
      <x:c r="K276" s="291" t="str">
        <x:v>8월</x:v>
      </x:c>
    </x:row>
    <x:row r="277">
      <x:c r="A277" s="291" t="n">
        <x:f>IF('초등학교+병설유치원(8월)'!A22="","",'초등학교+병설유치원(8월)'!A22)</x:f>
        <x:v>12</x:v>
      </x:c>
      <x:c r="B277" s="291" t="str">
        <x:v>초등학교</x:v>
      </x:c>
      <x:c r="C277" s="291" t="str">
        <x:f>IF('초등학교+병설유치원(8월)'!B22="","",'초등학교+병설유치원(8월)'!B22)</x:f>
        <x:v>이리백제초</x:v>
      </x:c>
      <x:c r="D277" s="293" t="n">
        <x:v>46246</x:v>
      </x:c>
      <x:c r="E277" s="294" t="n">
        <x:f>IF('초등학교+병설유치원(8월)'!BG22="",0,'초등학교+병설유치원(8월)'!BG22)</x:f>
        <x:v>13</x:v>
      </x:c>
      <x:c r="F277" s="294" t="n">
        <x:f>IF('초등학교+병설유치원(8월)'!BH22="",0,'초등학교+병설유치원(8월)'!BH22)</x:f>
        <x:v>11</x:v>
      </x:c>
      <x:c r="G277" s="294" t="n">
        <x:f>IF('초등학교+병설유치원(8월)'!BI22="",0,'초등학교+병설유치원(8월)'!BI22)</x:f>
        <x:v>0</x:v>
      </x:c>
      <x:c r="H277" s="294" t="n">
        <x:f>IF('초등학교+병설유치원(8월)'!BJ22="",0,'초등학교+병설유치원(8월)'!BJ22)</x:f>
        <x:v>0</x:v>
      </x:c>
      <x:c r="I277" s="294" t="n">
        <x:f>IF('초등학교+병설유치원(8월)'!BK22="",0,'초등학교+병설유치원(8월)'!BK22)</x:f>
        <x:v>0</x:v>
      </x:c>
      <x:c r="J277" s="296" t="n">
        <x:f>SUM(E277:I277)</x:f>
        <x:v>24</x:v>
      </x:c>
      <x:c r="K277" s="291" t="str">
        <x:v>8월</x:v>
      </x:c>
    </x:row>
    <x:row r="278">
      <x:c r="A278" s="291" t="n">
        <x:f>IF('초등학교+병설유치원(8월)'!A22="","",'초등학교+병설유치원(8월)'!A22)</x:f>
        <x:v>12</x:v>
      </x:c>
      <x:c r="B278" s="291" t="str">
        <x:v>초등학교</x:v>
      </x:c>
      <x:c r="C278" s="291" t="str">
        <x:f>IF('초등학교+병설유치원(8월)'!B22="","",'초등학교+병설유치원(8월)'!B22)</x:f>
        <x:v>이리백제초</x:v>
      </x:c>
      <x:c r="D278" s="293" t="n">
        <x:v>46247</x:v>
      </x:c>
      <x:c r="E278" s="294" t="n">
        <x:f>IF('초등학교+병설유치원(8월)'!BM22="",0,'초등학교+병설유치원(8월)'!BM22)</x:f>
        <x:v>13</x:v>
      </x:c>
      <x:c r="F278" s="294" t="n">
        <x:f>IF('초등학교+병설유치원(8월)'!BN22="",0,'초등학교+병설유치원(8월)'!BN22)</x:f>
        <x:v>11</x:v>
      </x:c>
      <x:c r="G278" s="294" t="n">
        <x:f>IF('초등학교+병설유치원(8월)'!BO22="",0,'초등학교+병설유치원(8월)'!BO22)</x:f>
        <x:v>0</x:v>
      </x:c>
      <x:c r="H278" s="294" t="n">
        <x:f>IF('초등학교+병설유치원(8월)'!BP22="",0,'초등학교+병설유치원(8월)'!BP22)</x:f>
        <x:v>0</x:v>
      </x:c>
      <x:c r="I278" s="294" t="n">
        <x:f>IF('초등학교+병설유치원(8월)'!BQ22="",0,'초등학교+병설유치원(8월)'!BQ22)</x:f>
        <x:v>0</x:v>
      </x:c>
      <x:c r="J278" s="296" t="n">
        <x:f>SUM(E278:I278)</x:f>
        <x:v>24</x:v>
      </x:c>
      <x:c r="K278" s="291" t="str">
        <x:v>8월</x:v>
      </x:c>
    </x:row>
    <x:row r="279">
      <x:c r="A279" s="291" t="n">
        <x:f>IF('초등학교+병설유치원(8월)'!A22="","",'초등학교+병설유치원(8월)'!A22)</x:f>
        <x:v>12</x:v>
      </x:c>
      <x:c r="B279" s="291" t="str">
        <x:v>초등학교</x:v>
      </x:c>
      <x:c r="C279" s="291" t="str">
        <x:f>IF('초등학교+병설유치원(8월)'!B22="","",'초등학교+병설유치원(8월)'!B22)</x:f>
        <x:v>이리백제초</x:v>
      </x:c>
      <x:c r="D279" s="293" t="n">
        <x:v>46248</x:v>
      </x:c>
      <x:c r="E279" s="294" t="n">
        <x:f>IF('초등학교+병설유치원(8월)'!BS22="",0,'초등학교+병설유치원(8월)'!BS22)</x:f>
        <x:v>13</x:v>
      </x:c>
      <x:c r="F279" s="294" t="n">
        <x:f>IF('초등학교+병설유치원(8월)'!BT22="",0,'초등학교+병설유치원(8월)'!BT22)</x:f>
        <x:v>11</x:v>
      </x:c>
      <x:c r="G279" s="294" t="n">
        <x:f>IF('초등학교+병설유치원(8월)'!BU22="",0,'초등학교+병설유치원(8월)'!BU22)</x:f>
        <x:v>0</x:v>
      </x:c>
      <x:c r="H279" s="294" t="n">
        <x:f>IF('초등학교+병설유치원(8월)'!BV22="",0,'초등학교+병설유치원(8월)'!BV22)</x:f>
        <x:v>0</x:v>
      </x:c>
      <x:c r="I279" s="294" t="n">
        <x:f>IF('초등학교+병설유치원(8월)'!BW22="",0,'초등학교+병설유치원(8월)'!BW22)</x:f>
        <x:v>0</x:v>
      </x:c>
      <x:c r="J279" s="296" t="n">
        <x:f>SUM(E279:I279)</x:f>
        <x:v>24</x:v>
      </x:c>
      <x:c r="K279" s="291" t="str">
        <x:v>8월</x:v>
      </x:c>
    </x:row>
    <x:row r="280">
      <x:c r="A280" s="291" t="n">
        <x:f>IF('초등학교+병설유치원(8월)'!A22="","",'초등학교+병설유치원(8월)'!A22)</x:f>
        <x:v>12</x:v>
      </x:c>
      <x:c r="B280" s="291" t="str">
        <x:v>초등학교</x:v>
      </x:c>
      <x:c r="C280" s="291" t="str">
        <x:f>IF('초등학교+병설유치원(8월)'!B22="","",'초등학교+병설유치원(8월)'!B22)</x:f>
        <x:v>이리백제초</x:v>
      </x:c>
      <x:c r="D280" s="293" t="n">
        <x:v>46252</x:v>
      </x:c>
      <x:c r="E280" s="294" t="n">
        <x:f>IF('초등학교+병설유치원(8월)'!BY22="",0,'초등학교+병설유치원(8월)'!BY22)</x:f>
        <x:v>13</x:v>
      </x:c>
      <x:c r="F280" s="294" t="n">
        <x:f>IF('초등학교+병설유치원(8월)'!BZ22="",0,'초등학교+병설유치원(8월)'!BZ22)</x:f>
        <x:v>11</x:v>
      </x:c>
      <x:c r="G280" s="294" t="n">
        <x:f>IF('초등학교+병설유치원(8월)'!CA22="",0,'초등학교+병설유치원(8월)'!CA22)</x:f>
        <x:v>0</x:v>
      </x:c>
      <x:c r="H280" s="294" t="n">
        <x:f>IF('초등학교+병설유치원(8월)'!CB22="",0,'초등학교+병설유치원(8월)'!CB22)</x:f>
        <x:v>0</x:v>
      </x:c>
      <x:c r="I280" s="294" t="n">
        <x:f>IF('초등학교+병설유치원(8월)'!CC22="",0,'초등학교+병설유치원(8월)'!CC22)</x:f>
        <x:v>0</x:v>
      </x:c>
      <x:c r="J280" s="296" t="n">
        <x:f>SUM(E280:I280)</x:f>
        <x:v>24</x:v>
      </x:c>
      <x:c r="K280" s="291" t="str">
        <x:v>8월</x:v>
      </x:c>
    </x:row>
    <x:row r="281">
      <x:c r="A281" s="291" t="n">
        <x:f>IF('초등학교+병설유치원(8월)'!A22="","",'초등학교+병설유치원(8월)'!A22)</x:f>
        <x:v>12</x:v>
      </x:c>
      <x:c r="B281" s="291" t="str">
        <x:v>초등학교</x:v>
      </x:c>
      <x:c r="C281" s="291" t="str">
        <x:f>IF('초등학교+병설유치원(8월)'!B22="","",'초등학교+병설유치원(8월)'!B22)</x:f>
        <x:v>이리백제초</x:v>
      </x:c>
      <x:c r="D281" s="293" t="n">
        <x:v>46253</x:v>
      </x:c>
      <x:c r="E281" s="294" t="n">
        <x:f>IF('초등학교+병설유치원(8월)'!CE22="",0,'초등학교+병설유치원(8월)'!CE22)</x:f>
        <x:v>13</x:v>
      </x:c>
      <x:c r="F281" s="294" t="n">
        <x:f>IF('초등학교+병설유치원(8월)'!CF22="",0,'초등학교+병설유치원(8월)'!CF22)</x:f>
        <x:v>11</x:v>
      </x:c>
      <x:c r="G281" s="294" t="n">
        <x:f>IF('초등학교+병설유치원(8월)'!CG22="",0,'초등학교+병설유치원(8월)'!CG22)</x:f>
        <x:v>0</x:v>
      </x:c>
      <x:c r="H281" s="294" t="n">
        <x:f>IF('초등학교+병설유치원(8월)'!CH22="",0,'초등학교+병설유치원(8월)'!CH22)</x:f>
        <x:v>0</x:v>
      </x:c>
      <x:c r="I281" s="294" t="n">
        <x:f>IF('초등학교+병설유치원(8월)'!CI22="",0,'초등학교+병설유치원(8월)'!CI22)</x:f>
        <x:v>0</x:v>
      </x:c>
      <x:c r="J281" s="296" t="n">
        <x:f>SUM(E281:I281)</x:f>
        <x:v>24</x:v>
      </x:c>
      <x:c r="K281" s="291" t="str">
        <x:v>8월</x:v>
      </x:c>
    </x:row>
    <x:row r="282">
      <x:c r="A282" s="291" t="n">
        <x:f>IF('초등학교+병설유치원(8월)'!A22="","",'초등학교+병설유치원(8월)'!A22)</x:f>
        <x:v>12</x:v>
      </x:c>
      <x:c r="B282" s="291" t="str">
        <x:v>초등학교</x:v>
      </x:c>
      <x:c r="C282" s="291" t="str">
        <x:f>IF('초등학교+병설유치원(8월)'!B22="","",'초등학교+병설유치원(8월)'!B22)</x:f>
        <x:v>이리백제초</x:v>
      </x:c>
      <x:c r="D282" s="293" t="n">
        <x:v>46254</x:v>
      </x:c>
      <x:c r="E282" s="294" t="n">
        <x:f>IF('초등학교+병설유치원(8월)'!CK22="",0,'초등학교+병설유치원(8월)'!CK22)</x:f>
        <x:v>13</x:v>
      </x:c>
      <x:c r="F282" s="294" t="n">
        <x:f>IF('초등학교+병설유치원(8월)'!CL22="",0,'초등학교+병설유치원(8월)'!CL22)</x:f>
        <x:v>11</x:v>
      </x:c>
      <x:c r="G282" s="294" t="n">
        <x:f>IF('초등학교+병설유치원(8월)'!CM22="",0,'초등학교+병설유치원(8월)'!CM22)</x:f>
        <x:v>0</x:v>
      </x:c>
      <x:c r="H282" s="294" t="n">
        <x:f>IF('초등학교+병설유치원(8월)'!CN22="",0,'초등학교+병설유치원(8월)'!CN22)</x:f>
        <x:v>0</x:v>
      </x:c>
      <x:c r="I282" s="294" t="n">
        <x:f>IF('초등학교+병설유치원(8월)'!CO22="",0,'초등학교+병설유치원(8월)'!CO22)</x:f>
        <x:v>0</x:v>
      </x:c>
      <x:c r="J282" s="296" t="n">
        <x:f>SUM(E282:I282)</x:f>
        <x:v>24</x:v>
      </x:c>
      <x:c r="K282" s="291" t="str">
        <x:v>8월</x:v>
      </x:c>
    </x:row>
    <x:row r="283">
      <x:c r="A283" s="291" t="n">
        <x:f>IF('초등학교+병설유치원(8월)'!A22="","",'초등학교+병설유치원(8월)'!A22)</x:f>
        <x:v>12</x:v>
      </x:c>
      <x:c r="B283" s="291" t="str">
        <x:v>초등학교</x:v>
      </x:c>
      <x:c r="C283" s="291" t="str">
        <x:f>IF('초등학교+병설유치원(8월)'!B22="","",'초등학교+병설유치원(8월)'!B22)</x:f>
        <x:v>이리백제초</x:v>
      </x:c>
      <x:c r="D283" s="293" t="n">
        <x:v>46255</x:v>
      </x:c>
      <x:c r="E283" s="294" t="n">
        <x:f>IF('초등학교+병설유치원(8월)'!CQ22="",0,'초등학교+병설유치원(8월)'!CQ22)</x:f>
        <x:v>13</x:v>
      </x:c>
      <x:c r="F283" s="294" t="n">
        <x:f>IF('초등학교+병설유치원(8월)'!CR22="",0,'초등학교+병설유치원(8월)'!CR22)</x:f>
        <x:v>11</x:v>
      </x:c>
      <x:c r="G283" s="294" t="n">
        <x:f>IF('초등학교+병설유치원(8월)'!CS22="",0,'초등학교+병설유치원(8월)'!CS22)</x:f>
        <x:v>0</x:v>
      </x:c>
      <x:c r="H283" s="294" t="n">
        <x:f>IF('초등학교+병설유치원(8월)'!CT22="",0,'초등학교+병설유치원(8월)'!CT22)</x:f>
        <x:v>0</x:v>
      </x:c>
      <x:c r="I283" s="294" t="n">
        <x:f>IF('초등학교+병설유치원(8월)'!CU22="",0,'초등학교+병설유치원(8월)'!CU22)</x:f>
        <x:v>0</x:v>
      </x:c>
      <x:c r="J283" s="296" t="n">
        <x:f>SUM(E283:I283)</x:f>
        <x:v>24</x:v>
      </x:c>
      <x:c r="K283" s="291" t="str">
        <x:v>8월</x:v>
      </x:c>
    </x:row>
    <x:row r="284">
      <x:c r="A284" s="291" t="str">
        <x:f>IF('초등학교+병설유치원(8월)'!A23="","",'초등학교+병설유치원(8월)'!A23)</x:f>
        <x:v>12-1</x:v>
      </x:c>
      <x:c r="B284" s="291" t="str">
        <x:v>병설유치원</x:v>
      </x:c>
      <x:c r="C284" s="291" t="str">
        <x:f>IF('초등학교+병설유치원(8월)'!B23="","",'초등학교+병설유치원(8월)'!B23)</x:f>
        <x:v>이리백제초 병설유치원</x:v>
      </x:c>
      <x:c r="D284" s="293" t="n">
        <x:v>46237</x:v>
      </x:c>
      <x:c r="E284" s="294" t="n">
        <x:f>IF('초등학교+병설유치원(8월)'!Q23="",0,'초등학교+병설유치원(8월)'!Q23)</x:f>
        <x:v>2</x:v>
      </x:c>
      <x:c r="F284" s="294" t="n">
        <x:f>IF('초등학교+병설유치원(8월)'!R23="",0,'초등학교+병설유치원(8월)'!R23)</x:f>
        <x:v>0</x:v>
      </x:c>
      <x:c r="G284" s="294" t="n">
        <x:f>IF('초등학교+병설유치원(8월)'!S23="",0,'초등학교+병설유치원(8월)'!S23)</x:f>
        <x:v>0</x:v>
      </x:c>
      <x:c r="H284" s="294" t="n">
        <x:f>IF('초등학교+병설유치원(8월)'!T23="",0,'초등학교+병설유치원(8월)'!T23)</x:f>
        <x:v>0</x:v>
      </x:c>
      <x:c r="I284" s="294" t="n">
        <x:f>IF('초등학교+병설유치원(8월)'!U23="",0,'초등학교+병설유치원(8월)'!U23)</x:f>
        <x:v>0</x:v>
      </x:c>
      <x:c r="J284" s="296" t="n">
        <x:f>SUM(E284:I284)</x:f>
        <x:v>2</x:v>
      </x:c>
      <x:c r="K284" s="291" t="str">
        <x:v>8월</x:v>
      </x:c>
    </x:row>
    <x:row r="285">
      <x:c r="A285" s="291" t="str">
        <x:f>IF('초등학교+병설유치원(8월)'!A23="","",'초등학교+병설유치원(8월)'!A23)</x:f>
        <x:v>12-1</x:v>
      </x:c>
      <x:c r="B285" s="291" t="str">
        <x:v>병설유치원</x:v>
      </x:c>
      <x:c r="C285" s="291" t="str">
        <x:f>IF('초등학교+병설유치원(8월)'!B23="","",'초등학교+병설유치원(8월)'!B23)</x:f>
        <x:v>이리백제초 병설유치원</x:v>
      </x:c>
      <x:c r="D285" s="293" t="n">
        <x:v>46238</x:v>
      </x:c>
      <x:c r="E285" s="294" t="n">
        <x:f>IF('초등학교+병설유치원(8월)'!W23="",0,'초등학교+병설유치원(8월)'!W23)</x:f>
        <x:v>2</x:v>
      </x:c>
      <x:c r="F285" s="294" t="n">
        <x:f>IF('초등학교+병설유치원(8월)'!X23="",0,'초등학교+병설유치원(8월)'!X23)</x:f>
        <x:v>0</x:v>
      </x:c>
      <x:c r="G285" s="294" t="n">
        <x:f>IF('초등학교+병설유치원(8월)'!Y23="",0,'초등학교+병설유치원(8월)'!Y23)</x:f>
        <x:v>0</x:v>
      </x:c>
      <x:c r="H285" s="294" t="n">
        <x:f>IF('초등학교+병설유치원(8월)'!Z23="",0,'초등학교+병설유치원(8월)'!Z23)</x:f>
        <x:v>0</x:v>
      </x:c>
      <x:c r="I285" s="294" t="n">
        <x:f>IF('초등학교+병설유치원(8월)'!AA23="",0,'초등학교+병설유치원(8월)'!AA23)</x:f>
        <x:v>0</x:v>
      </x:c>
      <x:c r="J285" s="296" t="n">
        <x:f>SUM(E285:I285)</x:f>
        <x:v>2</x:v>
      </x:c>
      <x:c r="K285" s="291" t="str">
        <x:v>8월</x:v>
      </x:c>
    </x:row>
    <x:row r="286">
      <x:c r="A286" s="291" t="str">
        <x:f>IF('초등학교+병설유치원(8월)'!A23="","",'초등학교+병설유치원(8월)'!A23)</x:f>
        <x:v>12-1</x:v>
      </x:c>
      <x:c r="B286" s="291" t="str">
        <x:v>병설유치원</x:v>
      </x:c>
      <x:c r="C286" s="291" t="str">
        <x:f>IF('초등학교+병설유치원(8월)'!B23="","",'초등학교+병설유치원(8월)'!B23)</x:f>
        <x:v>이리백제초 병설유치원</x:v>
      </x:c>
      <x:c r="D286" s="293" t="n">
        <x:v>46239</x:v>
      </x:c>
      <x:c r="E286" s="294" t="n">
        <x:f>IF('초등학교+병설유치원(8월)'!AC23="",0,'초등학교+병설유치원(8월)'!AC23)</x:f>
        <x:v>2</x:v>
      </x:c>
      <x:c r="F286" s="294" t="n">
        <x:f>IF('초등학교+병설유치원(8월)'!AD23="",0,'초등학교+병설유치원(8월)'!AD23)</x:f>
        <x:v>0</x:v>
      </x:c>
      <x:c r="G286" s="294" t="n">
        <x:f>IF('초등학교+병설유치원(8월)'!AE23="",0,'초등학교+병설유치원(8월)'!AE23)</x:f>
        <x:v>0</x:v>
      </x:c>
      <x:c r="H286" s="294" t="n">
        <x:f>IF('초등학교+병설유치원(8월)'!AF23="",0,'초등학교+병설유치원(8월)'!AF23)</x:f>
        <x:v>0</x:v>
      </x:c>
      <x:c r="I286" s="294" t="n">
        <x:f>IF('초등학교+병설유치원(8월)'!AG23="",0,'초등학교+병설유치원(8월)'!AG23)</x:f>
        <x:v>0</x:v>
      </x:c>
      <x:c r="J286" s="296" t="n">
        <x:f>SUM(E286:I286)</x:f>
        <x:v>2</x:v>
      </x:c>
      <x:c r="K286" s="291" t="str">
        <x:v>8월</x:v>
      </x:c>
    </x:row>
    <x:row r="287">
      <x:c r="A287" s="291" t="str">
        <x:f>IF('초등학교+병설유치원(8월)'!A23="","",'초등학교+병설유치원(8월)'!A23)</x:f>
        <x:v>12-1</x:v>
      </x:c>
      <x:c r="B287" s="291" t="str">
        <x:v>병설유치원</x:v>
      </x:c>
      <x:c r="C287" s="291" t="str">
        <x:f>IF('초등학교+병설유치원(8월)'!B23="","",'초등학교+병설유치원(8월)'!B23)</x:f>
        <x:v>이리백제초 병설유치원</x:v>
      </x:c>
      <x:c r="D287" s="293" t="n">
        <x:v>46240</x:v>
      </x:c>
      <x:c r="E287" s="294" t="n">
        <x:f>IF('초등학교+병설유치원(8월)'!AI23="",0,'초등학교+병설유치원(8월)'!AI23)</x:f>
        <x:v>2</x:v>
      </x:c>
      <x:c r="F287" s="294" t="n">
        <x:f>IF('초등학교+병설유치원(8월)'!AJ23="",0,'초등학교+병설유치원(8월)'!AJ23)</x:f>
        <x:v>0</x:v>
      </x:c>
      <x:c r="G287" s="294" t="n">
        <x:f>IF('초등학교+병설유치원(8월)'!AK23="",0,'초등학교+병설유치원(8월)'!AK23)</x:f>
        <x:v>0</x:v>
      </x:c>
      <x:c r="H287" s="294" t="n">
        <x:f>IF('초등학교+병설유치원(8월)'!AL23="",0,'초등학교+병설유치원(8월)'!AL23)</x:f>
        <x:v>0</x:v>
      </x:c>
      <x:c r="I287" s="294" t="n">
        <x:f>IF('초등학교+병설유치원(8월)'!AM23="",0,'초등학교+병설유치원(8월)'!AM23)</x:f>
        <x:v>0</x:v>
      </x:c>
      <x:c r="J287" s="296" t="n">
        <x:f>SUM(E287:I287)</x:f>
        <x:v>2</x:v>
      </x:c>
      <x:c r="K287" s="291" t="str">
        <x:v>8월</x:v>
      </x:c>
    </x:row>
    <x:row r="288">
      <x:c r="A288" s="291" t="str">
        <x:f>IF('초등학교+병설유치원(8월)'!A23="","",'초등학교+병설유치원(8월)'!A23)</x:f>
        <x:v>12-1</x:v>
      </x:c>
      <x:c r="B288" s="291" t="str">
        <x:v>병설유치원</x:v>
      </x:c>
      <x:c r="C288" s="291" t="str">
        <x:f>IF('초등학교+병설유치원(8월)'!B23="","",'초등학교+병설유치원(8월)'!B23)</x:f>
        <x:v>이리백제초 병설유치원</x:v>
      </x:c>
      <x:c r="D288" s="293" t="n">
        <x:v>46241</x:v>
      </x:c>
      <x:c r="E288" s="294" t="n">
        <x:f>IF('초등학교+병설유치원(8월)'!AO23="",0,'초등학교+병설유치원(8월)'!AO23)</x:f>
        <x:v>2</x:v>
      </x:c>
      <x:c r="F288" s="294" t="n">
        <x:f>IF('초등학교+병설유치원(8월)'!AP23="",0,'초등학교+병설유치원(8월)'!AP23)</x:f>
        <x:v>0</x:v>
      </x:c>
      <x:c r="G288" s="294" t="n">
        <x:f>IF('초등학교+병설유치원(8월)'!AQ23="",0,'초등학교+병설유치원(8월)'!AQ23)</x:f>
        <x:v>0</x:v>
      </x:c>
      <x:c r="H288" s="294" t="n">
        <x:f>IF('초등학교+병설유치원(8월)'!AR23="",0,'초등학교+병설유치원(8월)'!AR23)</x:f>
        <x:v>0</x:v>
      </x:c>
      <x:c r="I288" s="294" t="n">
        <x:f>IF('초등학교+병설유치원(8월)'!AS23="",0,'초등학교+병설유치원(8월)'!AS23)</x:f>
        <x:v>0</x:v>
      </x:c>
      <x:c r="J288" s="296" t="n">
        <x:f>SUM(E288:I288)</x:f>
        <x:v>2</x:v>
      </x:c>
      <x:c r="K288" s="291" t="str">
        <x:v>8월</x:v>
      </x:c>
    </x:row>
    <x:row r="289">
      <x:c r="A289" s="291" t="str">
        <x:f>IF('초등학교+병설유치원(8월)'!A23="","",'초등학교+병설유치원(8월)'!A23)</x:f>
        <x:v>12-1</x:v>
      </x:c>
      <x:c r="B289" s="291" t="str">
        <x:v>병설유치원</x:v>
      </x:c>
      <x:c r="C289" s="291" t="str">
        <x:f>IF('초등학교+병설유치원(8월)'!B23="","",'초등학교+병설유치원(8월)'!B23)</x:f>
        <x:v>이리백제초 병설유치원</x:v>
      </x:c>
      <x:c r="D289" s="293" t="n">
        <x:v>46244</x:v>
      </x:c>
      <x:c r="E289" s="294" t="n">
        <x:f>IF('초등학교+병설유치원(8월)'!AU23="",0,'초등학교+병설유치원(8월)'!AU23)</x:f>
        <x:v>2</x:v>
      </x:c>
      <x:c r="F289" s="294" t="n">
        <x:f>IF('초등학교+병설유치원(8월)'!AV23="",0,'초등학교+병설유치원(8월)'!AV23)</x:f>
        <x:v>0</x:v>
      </x:c>
      <x:c r="G289" s="294" t="n">
        <x:f>IF('초등학교+병설유치원(8월)'!AW23="",0,'초등학교+병설유치원(8월)'!AW23)</x:f>
        <x:v>0</x:v>
      </x:c>
      <x:c r="H289" s="294" t="n">
        <x:f>IF('초등학교+병설유치원(8월)'!AX23="",0,'초등학교+병설유치원(8월)'!AX23)</x:f>
        <x:v>0</x:v>
      </x:c>
      <x:c r="I289" s="294" t="n">
        <x:f>IF('초등학교+병설유치원(8월)'!AY23="",0,'초등학교+병설유치원(8월)'!AY23)</x:f>
        <x:v>0</x:v>
      </x:c>
      <x:c r="J289" s="296" t="n">
        <x:f>SUM(E289:I289)</x:f>
        <x:v>2</x:v>
      </x:c>
      <x:c r="K289" s="291" t="str">
        <x:v>8월</x:v>
      </x:c>
    </x:row>
    <x:row r="290">
      <x:c r="A290" s="291" t="str">
        <x:f>IF('초등학교+병설유치원(8월)'!A23="","",'초등학교+병설유치원(8월)'!A23)</x:f>
        <x:v>12-1</x:v>
      </x:c>
      <x:c r="B290" s="291" t="str">
        <x:v>병설유치원</x:v>
      </x:c>
      <x:c r="C290" s="291" t="str">
        <x:f>IF('초등학교+병설유치원(8월)'!B23="","",'초등학교+병설유치원(8월)'!B23)</x:f>
        <x:v>이리백제초 병설유치원</x:v>
      </x:c>
      <x:c r="D290" s="293" t="n">
        <x:v>46245</x:v>
      </x:c>
      <x:c r="E290" s="294" t="n">
        <x:f>IF('초등학교+병설유치원(8월)'!BA23="",0,'초등학교+병설유치원(8월)'!BA23)</x:f>
        <x:v>2</x:v>
      </x:c>
      <x:c r="F290" s="294" t="n">
        <x:f>IF('초등학교+병설유치원(8월)'!BB23="",0,'초등학교+병설유치원(8월)'!BB23)</x:f>
        <x:v>0</x:v>
      </x:c>
      <x:c r="G290" s="294" t="n">
        <x:f>IF('초등학교+병설유치원(8월)'!BC23="",0,'초등학교+병설유치원(8월)'!BC23)</x:f>
        <x:v>0</x:v>
      </x:c>
      <x:c r="H290" s="294" t="n">
        <x:f>IF('초등학교+병설유치원(8월)'!BD23="",0,'초등학교+병설유치원(8월)'!BD23)</x:f>
        <x:v>0</x:v>
      </x:c>
      <x:c r="I290" s="294" t="n">
        <x:f>IF('초등학교+병설유치원(8월)'!BE23="",0,'초등학교+병설유치원(8월)'!BE23)</x:f>
        <x:v>0</x:v>
      </x:c>
      <x:c r="J290" s="296" t="n">
        <x:f>SUM(E290:I290)</x:f>
        <x:v>2</x:v>
      </x:c>
      <x:c r="K290" s="291" t="str">
        <x:v>8월</x:v>
      </x:c>
    </x:row>
    <x:row r="291">
      <x:c r="A291" s="291" t="str">
        <x:f>IF('초등학교+병설유치원(8월)'!A23="","",'초등학교+병설유치원(8월)'!A23)</x:f>
        <x:v>12-1</x:v>
      </x:c>
      <x:c r="B291" s="291" t="str">
        <x:v>병설유치원</x:v>
      </x:c>
      <x:c r="C291" s="291" t="str">
        <x:f>IF('초등학교+병설유치원(8월)'!B23="","",'초등학교+병설유치원(8월)'!B23)</x:f>
        <x:v>이리백제초 병설유치원</x:v>
      </x:c>
      <x:c r="D291" s="293" t="n">
        <x:v>46246</x:v>
      </x:c>
      <x:c r="E291" s="294" t="n">
        <x:f>IF('초등학교+병설유치원(8월)'!BG23="",0,'초등학교+병설유치원(8월)'!BG23)</x:f>
        <x:v>2</x:v>
      </x:c>
      <x:c r="F291" s="294" t="n">
        <x:f>IF('초등학교+병설유치원(8월)'!BH23="",0,'초등학교+병설유치원(8월)'!BH23)</x:f>
        <x:v>0</x:v>
      </x:c>
      <x:c r="G291" s="294" t="n">
        <x:f>IF('초등학교+병설유치원(8월)'!BI23="",0,'초등학교+병설유치원(8월)'!BI23)</x:f>
        <x:v>0</x:v>
      </x:c>
      <x:c r="H291" s="294" t="n">
        <x:f>IF('초등학교+병설유치원(8월)'!BJ23="",0,'초등학교+병설유치원(8월)'!BJ23)</x:f>
        <x:v>0</x:v>
      </x:c>
      <x:c r="I291" s="294" t="n">
        <x:f>IF('초등학교+병설유치원(8월)'!BK23="",0,'초등학교+병설유치원(8월)'!BK23)</x:f>
        <x:v>0</x:v>
      </x:c>
      <x:c r="J291" s="296" t="n">
        <x:f>SUM(E291:I291)</x:f>
        <x:v>2</x:v>
      </x:c>
      <x:c r="K291" s="291" t="str">
        <x:v>8월</x:v>
      </x:c>
    </x:row>
    <x:row r="292">
      <x:c r="A292" s="291" t="str">
        <x:f>IF('초등학교+병설유치원(8월)'!A23="","",'초등학교+병설유치원(8월)'!A23)</x:f>
        <x:v>12-1</x:v>
      </x:c>
      <x:c r="B292" s="291" t="str">
        <x:v>병설유치원</x:v>
      </x:c>
      <x:c r="C292" s="291" t="str">
        <x:f>IF('초등학교+병설유치원(8월)'!B23="","",'초등학교+병설유치원(8월)'!B23)</x:f>
        <x:v>이리백제초 병설유치원</x:v>
      </x:c>
      <x:c r="D292" s="293" t="n">
        <x:v>46247</x:v>
      </x:c>
      <x:c r="E292" s="294" t="n">
        <x:f>IF('초등학교+병설유치원(8월)'!BM23="",0,'초등학교+병설유치원(8월)'!BM23)</x:f>
        <x:v>2</x:v>
      </x:c>
      <x:c r="F292" s="294" t="n">
        <x:f>IF('초등학교+병설유치원(8월)'!BN23="",0,'초등학교+병설유치원(8월)'!BN23)</x:f>
        <x:v>0</x:v>
      </x:c>
      <x:c r="G292" s="294" t="n">
        <x:f>IF('초등학교+병설유치원(8월)'!BO23="",0,'초등학교+병설유치원(8월)'!BO23)</x:f>
        <x:v>0</x:v>
      </x:c>
      <x:c r="H292" s="294" t="n">
        <x:f>IF('초등학교+병설유치원(8월)'!BP23="",0,'초등학교+병설유치원(8월)'!BP23)</x:f>
        <x:v>0</x:v>
      </x:c>
      <x:c r="I292" s="294" t="n">
        <x:f>IF('초등학교+병설유치원(8월)'!BQ23="",0,'초등학교+병설유치원(8월)'!BQ23)</x:f>
        <x:v>0</x:v>
      </x:c>
      <x:c r="J292" s="296" t="n">
        <x:f>SUM(E292:I292)</x:f>
        <x:v>2</x:v>
      </x:c>
      <x:c r="K292" s="291" t="str">
        <x:v>8월</x:v>
      </x:c>
    </x:row>
    <x:row r="293">
      <x:c r="A293" s="291" t="str">
        <x:f>IF('초등학교+병설유치원(8월)'!A23="","",'초등학교+병설유치원(8월)'!A23)</x:f>
        <x:v>12-1</x:v>
      </x:c>
      <x:c r="B293" s="291" t="str">
        <x:v>병설유치원</x:v>
      </x:c>
      <x:c r="C293" s="291" t="str">
        <x:f>IF('초등학교+병설유치원(8월)'!B23="","",'초등학교+병설유치원(8월)'!B23)</x:f>
        <x:v>이리백제초 병설유치원</x:v>
      </x:c>
      <x:c r="D293" s="293" t="n">
        <x:v>46248</x:v>
      </x:c>
      <x:c r="E293" s="294" t="n">
        <x:f>IF('초등학교+병설유치원(8월)'!BS23="",0,'초등학교+병설유치원(8월)'!BS23)</x:f>
        <x:v>2</x:v>
      </x:c>
      <x:c r="F293" s="294" t="n">
        <x:f>IF('초등학교+병설유치원(8월)'!BT23="",0,'초등학교+병설유치원(8월)'!BT23)</x:f>
        <x:v>0</x:v>
      </x:c>
      <x:c r="G293" s="294" t="n">
        <x:f>IF('초등학교+병설유치원(8월)'!BU23="",0,'초등학교+병설유치원(8월)'!BU23)</x:f>
        <x:v>0</x:v>
      </x:c>
      <x:c r="H293" s="294" t="n">
        <x:f>IF('초등학교+병설유치원(8월)'!BV23="",0,'초등학교+병설유치원(8월)'!BV23)</x:f>
        <x:v>0</x:v>
      </x:c>
      <x:c r="I293" s="294" t="n">
        <x:f>IF('초등학교+병설유치원(8월)'!BW23="",0,'초등학교+병설유치원(8월)'!BW23)</x:f>
        <x:v>0</x:v>
      </x:c>
      <x:c r="J293" s="296" t="n">
        <x:f>SUM(E293:I293)</x:f>
        <x:v>2</x:v>
      </x:c>
      <x:c r="K293" s="291" t="str">
        <x:v>8월</x:v>
      </x:c>
    </x:row>
    <x:row r="294">
      <x:c r="A294" s="291" t="str">
        <x:f>IF('초등학교+병설유치원(8월)'!A23="","",'초등학교+병설유치원(8월)'!A23)</x:f>
        <x:v>12-1</x:v>
      </x:c>
      <x:c r="B294" s="291" t="str">
        <x:v>병설유치원</x:v>
      </x:c>
      <x:c r="C294" s="291" t="str">
        <x:f>IF('초등학교+병설유치원(8월)'!B23="","",'초등학교+병설유치원(8월)'!B23)</x:f>
        <x:v>이리백제초 병설유치원</x:v>
      </x:c>
      <x:c r="D294" s="293" t="n">
        <x:v>46252</x:v>
      </x:c>
      <x:c r="E294" s="294" t="n">
        <x:f>IF('초등학교+병설유치원(8월)'!BY23="",0,'초등학교+병설유치원(8월)'!BY23)</x:f>
        <x:v>2</x:v>
      </x:c>
      <x:c r="F294" s="294" t="n">
        <x:f>IF('초등학교+병설유치원(8월)'!BZ23="",0,'초등학교+병설유치원(8월)'!BZ23)</x:f>
        <x:v>0</x:v>
      </x:c>
      <x:c r="G294" s="294" t="n">
        <x:f>IF('초등학교+병설유치원(8월)'!CA23="",0,'초등학교+병설유치원(8월)'!CA23)</x:f>
        <x:v>0</x:v>
      </x:c>
      <x:c r="H294" s="294" t="n">
        <x:f>IF('초등학교+병설유치원(8월)'!CB23="",0,'초등학교+병설유치원(8월)'!CB23)</x:f>
        <x:v>0</x:v>
      </x:c>
      <x:c r="I294" s="294" t="n">
        <x:f>IF('초등학교+병설유치원(8월)'!CC23="",0,'초등학교+병설유치원(8월)'!CC23)</x:f>
        <x:v>0</x:v>
      </x:c>
      <x:c r="J294" s="296" t="n">
        <x:f>SUM(E294:I294)</x:f>
        <x:v>2</x:v>
      </x:c>
      <x:c r="K294" s="291" t="str">
        <x:v>8월</x:v>
      </x:c>
    </x:row>
    <x:row r="295">
      <x:c r="A295" s="291" t="str">
        <x:f>IF('초등학교+병설유치원(8월)'!A23="","",'초등학교+병설유치원(8월)'!A23)</x:f>
        <x:v>12-1</x:v>
      </x:c>
      <x:c r="B295" s="291" t="str">
        <x:v>병설유치원</x:v>
      </x:c>
      <x:c r="C295" s="291" t="str">
        <x:f>IF('초등학교+병설유치원(8월)'!B23="","",'초등학교+병설유치원(8월)'!B23)</x:f>
        <x:v>이리백제초 병설유치원</x:v>
      </x:c>
      <x:c r="D295" s="293" t="n">
        <x:v>46253</x:v>
      </x:c>
      <x:c r="E295" s="294" t="n">
        <x:f>IF('초등학교+병설유치원(8월)'!CE23="",0,'초등학교+병설유치원(8월)'!CE23)</x:f>
        <x:v>2</x:v>
      </x:c>
      <x:c r="F295" s="294" t="n">
        <x:f>IF('초등학교+병설유치원(8월)'!CF23="",0,'초등학교+병설유치원(8월)'!CF23)</x:f>
        <x:v>0</x:v>
      </x:c>
      <x:c r="G295" s="294" t="n">
        <x:f>IF('초등학교+병설유치원(8월)'!CG23="",0,'초등학교+병설유치원(8월)'!CG23)</x:f>
        <x:v>0</x:v>
      </x:c>
      <x:c r="H295" s="294" t="n">
        <x:f>IF('초등학교+병설유치원(8월)'!CH23="",0,'초등학교+병설유치원(8월)'!CH23)</x:f>
        <x:v>0</x:v>
      </x:c>
      <x:c r="I295" s="294" t="n">
        <x:f>IF('초등학교+병설유치원(8월)'!CI23="",0,'초등학교+병설유치원(8월)'!CI23)</x:f>
        <x:v>0</x:v>
      </x:c>
      <x:c r="J295" s="296" t="n">
        <x:f>SUM(E295:I295)</x:f>
        <x:v>2</x:v>
      </x:c>
      <x:c r="K295" s="291" t="str">
        <x:v>8월</x:v>
      </x:c>
    </x:row>
    <x:row r="296">
      <x:c r="A296" s="291" t="str">
        <x:f>IF('초등학교+병설유치원(8월)'!A23="","",'초등학교+병설유치원(8월)'!A23)</x:f>
        <x:v>12-1</x:v>
      </x:c>
      <x:c r="B296" s="291" t="str">
        <x:v>병설유치원</x:v>
      </x:c>
      <x:c r="C296" s="291" t="str">
        <x:f>IF('초등학교+병설유치원(8월)'!B23="","",'초등학교+병설유치원(8월)'!B23)</x:f>
        <x:v>이리백제초 병설유치원</x:v>
      </x:c>
      <x:c r="D296" s="293" t="n">
        <x:v>46254</x:v>
      </x:c>
      <x:c r="E296" s="294" t="n">
        <x:f>IF('초등학교+병설유치원(8월)'!CK23="",0,'초등학교+병설유치원(8월)'!CK23)</x:f>
        <x:v>2</x:v>
      </x:c>
      <x:c r="F296" s="294" t="n">
        <x:f>IF('초등학교+병설유치원(8월)'!CL23="",0,'초등학교+병설유치원(8월)'!CL23)</x:f>
        <x:v>0</x:v>
      </x:c>
      <x:c r="G296" s="294" t="n">
        <x:f>IF('초등학교+병설유치원(8월)'!CM23="",0,'초등학교+병설유치원(8월)'!CM23)</x:f>
        <x:v>0</x:v>
      </x:c>
      <x:c r="H296" s="294" t="n">
        <x:f>IF('초등학교+병설유치원(8월)'!CN23="",0,'초등학교+병설유치원(8월)'!CN23)</x:f>
        <x:v>0</x:v>
      </x:c>
      <x:c r="I296" s="294" t="n">
        <x:f>IF('초등학교+병설유치원(8월)'!CO23="",0,'초등학교+병설유치원(8월)'!CO23)</x:f>
        <x:v>0</x:v>
      </x:c>
      <x:c r="J296" s="296" t="n">
        <x:f>SUM(E296:I296)</x:f>
        <x:v>2</x:v>
      </x:c>
      <x:c r="K296" s="291" t="str">
        <x:v>8월</x:v>
      </x:c>
    </x:row>
    <x:row r="297">
      <x:c r="A297" s="291" t="str">
        <x:f>IF('초등학교+병설유치원(8월)'!A23="","",'초등학교+병설유치원(8월)'!A23)</x:f>
        <x:v>12-1</x:v>
      </x:c>
      <x:c r="B297" s="291" t="str">
        <x:v>병설유치원</x:v>
      </x:c>
      <x:c r="C297" s="291" t="str">
        <x:f>IF('초등학교+병설유치원(8월)'!B23="","",'초등학교+병설유치원(8월)'!B23)</x:f>
        <x:v>이리백제초 병설유치원</x:v>
      </x:c>
      <x:c r="D297" s="293" t="n">
        <x:v>46255</x:v>
      </x:c>
      <x:c r="E297" s="294" t="n">
        <x:f>IF('초등학교+병설유치원(8월)'!CQ23="",0,'초등학교+병설유치원(8월)'!CQ23)</x:f>
        <x:v>2</x:v>
      </x:c>
      <x:c r="F297" s="294" t="n">
        <x:f>IF('초등학교+병설유치원(8월)'!CR23="",0,'초등학교+병설유치원(8월)'!CR23)</x:f>
        <x:v>0</x:v>
      </x:c>
      <x:c r="G297" s="294" t="n">
        <x:f>IF('초등학교+병설유치원(8월)'!CS23="",0,'초등학교+병설유치원(8월)'!CS23)</x:f>
        <x:v>0</x:v>
      </x:c>
      <x:c r="H297" s="294" t="n">
        <x:f>IF('초등학교+병설유치원(8월)'!CT23="",0,'초등학교+병설유치원(8월)'!CT23)</x:f>
        <x:v>0</x:v>
      </x:c>
      <x:c r="I297" s="294" t="n">
        <x:f>IF('초등학교+병설유치원(8월)'!CU23="",0,'초등학교+병설유치원(8월)'!CU23)</x:f>
        <x:v>0</x:v>
      </x:c>
      <x:c r="J297" s="296" t="n">
        <x:f>SUM(E297:I297)</x:f>
        <x:v>2</x:v>
      </x:c>
      <x:c r="K297" s="291" t="str">
        <x:v>8월</x:v>
      </x:c>
    </x:row>
    <x:row r="298">
      <x:c r="A298" s="291" t="n">
        <x:f>IF('초등학교+병설유치원(8월)'!A24="","",'초등학교+병설유치원(8월)'!A24)</x:f>
        <x:v>13</x:v>
      </x:c>
      <x:c r="B298" s="291" t="str">
        <x:v>초등학교</x:v>
      </x:c>
      <x:c r="C298" s="291" t="str">
        <x:f>IF('초등학교+병설유치원(8월)'!B24="","",'초등학교+병설유치원(8월)'!B24)</x:f>
        <x:v>이리부송초</x:v>
      </x:c>
      <x:c r="D298" s="293" t="n">
        <x:v>46237</x:v>
      </x:c>
      <x:c r="E298" s="294" t="n">
        <x:f>IF('초등학교+병설유치원(8월)'!Q24="",0,'초등학교+병설유치원(8월)'!Q24)</x:f>
        <x:v>21</x:v>
      </x:c>
      <x:c r="F298" s="294" t="n">
        <x:f>IF('초등학교+병설유치원(8월)'!R24="",0,'초등학교+병설유치원(8월)'!R24)</x:f>
        <x:v>15</x:v>
      </x:c>
      <x:c r="G298" s="294" t="n">
        <x:f>IF('초등학교+병설유치원(8월)'!S24="",0,'초등학교+병설유치원(8월)'!S24)</x:f>
        <x:v>0</x:v>
      </x:c>
      <x:c r="H298" s="294" t="n">
        <x:f>IF('초등학교+병설유치원(8월)'!T24="",0,'초등학교+병설유치원(8월)'!T24)</x:f>
        <x:v>0</x:v>
      </x:c>
      <x:c r="I298" s="294" t="n">
        <x:f>IF('초등학교+병설유치원(8월)'!U24="",0,'초등학교+병설유치원(8월)'!U24)</x:f>
        <x:v>0</x:v>
      </x:c>
      <x:c r="J298" s="296" t="n">
        <x:f>SUM(E298:I298)</x:f>
        <x:v>36</x:v>
      </x:c>
      <x:c r="K298" s="291" t="str">
        <x:v>8월</x:v>
      </x:c>
    </x:row>
    <x:row r="299">
      <x:c r="A299" s="291" t="n">
        <x:f>IF('초등학교+병설유치원(8월)'!A24="","",'초등학교+병설유치원(8월)'!A24)</x:f>
        <x:v>13</x:v>
      </x:c>
      <x:c r="B299" s="291" t="str">
        <x:v>초등학교</x:v>
      </x:c>
      <x:c r="C299" s="291" t="str">
        <x:f>IF('초등학교+병설유치원(8월)'!B24="","",'초등학교+병설유치원(8월)'!B24)</x:f>
        <x:v>이리부송초</x:v>
      </x:c>
      <x:c r="D299" s="293" t="n">
        <x:v>46238</x:v>
      </x:c>
      <x:c r="E299" s="294" t="n">
        <x:f>IF('초등학교+병설유치원(8월)'!W24="",0,'초등학교+병설유치원(8월)'!W24)</x:f>
        <x:v>21</x:v>
      </x:c>
      <x:c r="F299" s="294" t="n">
        <x:f>IF('초등학교+병설유치원(8월)'!X24="",0,'초등학교+병설유치원(8월)'!X24)</x:f>
        <x:v>15</x:v>
      </x:c>
      <x:c r="G299" s="294" t="n">
        <x:f>IF('초등학교+병설유치원(8월)'!Y24="",0,'초등학교+병설유치원(8월)'!Y24)</x:f>
        <x:v>0</x:v>
      </x:c>
      <x:c r="H299" s="294" t="n">
        <x:f>IF('초등학교+병설유치원(8월)'!Z24="",0,'초등학교+병설유치원(8월)'!Z24)</x:f>
        <x:v>0</x:v>
      </x:c>
      <x:c r="I299" s="294" t="n">
        <x:f>IF('초등학교+병설유치원(8월)'!AA24="",0,'초등학교+병설유치원(8월)'!AA24)</x:f>
        <x:v>0</x:v>
      </x:c>
      <x:c r="J299" s="296" t="n">
        <x:f>SUM(E299:I299)</x:f>
        <x:v>36</x:v>
      </x:c>
      <x:c r="K299" s="291" t="str">
        <x:v>8월</x:v>
      </x:c>
    </x:row>
    <x:row r="300">
      <x:c r="A300" s="291" t="n">
        <x:f>IF('초등학교+병설유치원(8월)'!A24="","",'초등학교+병설유치원(8월)'!A24)</x:f>
        <x:v>13</x:v>
      </x:c>
      <x:c r="B300" s="291" t="str">
        <x:v>초등학교</x:v>
      </x:c>
      <x:c r="C300" s="291" t="str">
        <x:f>IF('초등학교+병설유치원(8월)'!B24="","",'초등학교+병설유치원(8월)'!B24)</x:f>
        <x:v>이리부송초</x:v>
      </x:c>
      <x:c r="D300" s="293" t="n">
        <x:v>46239</x:v>
      </x:c>
      <x:c r="E300" s="294" t="n">
        <x:f>IF('초등학교+병설유치원(8월)'!AC24="",0,'초등학교+병설유치원(8월)'!AC24)</x:f>
        <x:v>21</x:v>
      </x:c>
      <x:c r="F300" s="294" t="n">
        <x:f>IF('초등학교+병설유치원(8월)'!AD24="",0,'초등학교+병설유치원(8월)'!AD24)</x:f>
        <x:v>15</x:v>
      </x:c>
      <x:c r="G300" s="294" t="n">
        <x:f>IF('초등학교+병설유치원(8월)'!AE24="",0,'초등학교+병설유치원(8월)'!AE24)</x:f>
        <x:v>0</x:v>
      </x:c>
      <x:c r="H300" s="294" t="n">
        <x:f>IF('초등학교+병설유치원(8월)'!AF24="",0,'초등학교+병설유치원(8월)'!AF24)</x:f>
        <x:v>0</x:v>
      </x:c>
      <x:c r="I300" s="294" t="n">
        <x:f>IF('초등학교+병설유치원(8월)'!AG24="",0,'초등학교+병설유치원(8월)'!AG24)</x:f>
        <x:v>0</x:v>
      </x:c>
      <x:c r="J300" s="296" t="n">
        <x:f>SUM(E300:I300)</x:f>
        <x:v>36</x:v>
      </x:c>
      <x:c r="K300" s="291" t="str">
        <x:v>8월</x:v>
      </x:c>
    </x:row>
    <x:row r="301">
      <x:c r="A301" s="291" t="n">
        <x:f>IF('초등학교+병설유치원(8월)'!A24="","",'초등학교+병설유치원(8월)'!A24)</x:f>
        <x:v>13</x:v>
      </x:c>
      <x:c r="B301" s="291" t="str">
        <x:v>초등학교</x:v>
      </x:c>
      <x:c r="C301" s="291" t="str">
        <x:f>IF('초등학교+병설유치원(8월)'!B24="","",'초등학교+병설유치원(8월)'!B24)</x:f>
        <x:v>이리부송초</x:v>
      </x:c>
      <x:c r="D301" s="293" t="n">
        <x:v>46240</x:v>
      </x:c>
      <x:c r="E301" s="294" t="n">
        <x:f>IF('초등학교+병설유치원(8월)'!AI24="",0,'초등학교+병설유치원(8월)'!AI24)</x:f>
        <x:v>21</x:v>
      </x:c>
      <x:c r="F301" s="294" t="n">
        <x:f>IF('초등학교+병설유치원(8월)'!AJ24="",0,'초등학교+병설유치원(8월)'!AJ24)</x:f>
        <x:v>15</x:v>
      </x:c>
      <x:c r="G301" s="294" t="n">
        <x:f>IF('초등학교+병설유치원(8월)'!AK24="",0,'초등학교+병설유치원(8월)'!AK24)</x:f>
        <x:v>0</x:v>
      </x:c>
      <x:c r="H301" s="294" t="n">
        <x:f>IF('초등학교+병설유치원(8월)'!AL24="",0,'초등학교+병설유치원(8월)'!AL24)</x:f>
        <x:v>0</x:v>
      </x:c>
      <x:c r="I301" s="294" t="n">
        <x:f>IF('초등학교+병설유치원(8월)'!AM24="",0,'초등학교+병설유치원(8월)'!AM24)</x:f>
        <x:v>0</x:v>
      </x:c>
      <x:c r="J301" s="296" t="n">
        <x:f>SUM(E301:I301)</x:f>
        <x:v>36</x:v>
      </x:c>
      <x:c r="K301" s="291" t="str">
        <x:v>8월</x:v>
      </x:c>
    </x:row>
    <x:row r="302">
      <x:c r="A302" s="291" t="n">
        <x:f>IF('초등학교+병설유치원(8월)'!A24="","",'초등학교+병설유치원(8월)'!A24)</x:f>
        <x:v>13</x:v>
      </x:c>
      <x:c r="B302" s="291" t="str">
        <x:v>초등학교</x:v>
      </x:c>
      <x:c r="C302" s="291" t="str">
        <x:f>IF('초등학교+병설유치원(8월)'!B24="","",'초등학교+병설유치원(8월)'!B24)</x:f>
        <x:v>이리부송초</x:v>
      </x:c>
      <x:c r="D302" s="293" t="n">
        <x:v>46241</x:v>
      </x:c>
      <x:c r="E302" s="294" t="n">
        <x:f>IF('초등학교+병설유치원(8월)'!AO24="",0,'초등학교+병설유치원(8월)'!AO24)</x:f>
        <x:v>21</x:v>
      </x:c>
      <x:c r="F302" s="294" t="n">
        <x:f>IF('초등학교+병설유치원(8월)'!AP24="",0,'초등학교+병설유치원(8월)'!AP24)</x:f>
        <x:v>15</x:v>
      </x:c>
      <x:c r="G302" s="294" t="n">
        <x:f>IF('초등학교+병설유치원(8월)'!AQ24="",0,'초등학교+병설유치원(8월)'!AQ24)</x:f>
        <x:v>0</x:v>
      </x:c>
      <x:c r="H302" s="294" t="n">
        <x:f>IF('초등학교+병설유치원(8월)'!AR24="",0,'초등학교+병설유치원(8월)'!AR24)</x:f>
        <x:v>0</x:v>
      </x:c>
      <x:c r="I302" s="294" t="n">
        <x:f>IF('초등학교+병설유치원(8월)'!AS24="",0,'초등학교+병설유치원(8월)'!AS24)</x:f>
        <x:v>0</x:v>
      </x:c>
      <x:c r="J302" s="296" t="n">
        <x:f>SUM(E302:I302)</x:f>
        <x:v>36</x:v>
      </x:c>
      <x:c r="K302" s="291" t="str">
        <x:v>8월</x:v>
      </x:c>
    </x:row>
    <x:row r="303">
      <x:c r="A303" s="291" t="n">
        <x:f>IF('초등학교+병설유치원(8월)'!A24="","",'초등학교+병설유치원(8월)'!A24)</x:f>
        <x:v>13</x:v>
      </x:c>
      <x:c r="B303" s="291" t="str">
        <x:v>초등학교</x:v>
      </x:c>
      <x:c r="C303" s="291" t="str">
        <x:f>IF('초등학교+병설유치원(8월)'!B24="","",'초등학교+병설유치원(8월)'!B24)</x:f>
        <x:v>이리부송초</x:v>
      </x:c>
      <x:c r="D303" s="293" t="n">
        <x:v>46244</x:v>
      </x:c>
      <x:c r="E303" s="294" t="n">
        <x:f>IF('초등학교+병설유치원(8월)'!AU24="",0,'초등학교+병설유치원(8월)'!AU24)</x:f>
        <x:v>21</x:v>
      </x:c>
      <x:c r="F303" s="294" t="n">
        <x:f>IF('초등학교+병설유치원(8월)'!AV24="",0,'초등학교+병설유치원(8월)'!AV24)</x:f>
        <x:v>15</x:v>
      </x:c>
      <x:c r="G303" s="294" t="n">
        <x:f>IF('초등학교+병설유치원(8월)'!AW24="",0,'초등학교+병설유치원(8월)'!AW24)</x:f>
        <x:v>0</x:v>
      </x:c>
      <x:c r="H303" s="294" t="n">
        <x:f>IF('초등학교+병설유치원(8월)'!AX24="",0,'초등학교+병설유치원(8월)'!AX24)</x:f>
        <x:v>0</x:v>
      </x:c>
      <x:c r="I303" s="294" t="n">
        <x:f>IF('초등학교+병설유치원(8월)'!AY24="",0,'초등학교+병설유치원(8월)'!AY24)</x:f>
        <x:v>0</x:v>
      </x:c>
      <x:c r="J303" s="296" t="n">
        <x:f>SUM(E303:I303)</x:f>
        <x:v>36</x:v>
      </x:c>
      <x:c r="K303" s="291" t="str">
        <x:v>8월</x:v>
      </x:c>
    </x:row>
    <x:row r="304">
      <x:c r="A304" s="291" t="n">
        <x:f>IF('초등학교+병설유치원(8월)'!A24="","",'초등학교+병설유치원(8월)'!A24)</x:f>
        <x:v>13</x:v>
      </x:c>
      <x:c r="B304" s="291" t="str">
        <x:v>초등학교</x:v>
      </x:c>
      <x:c r="C304" s="291" t="str">
        <x:f>IF('초등학교+병설유치원(8월)'!B24="","",'초등학교+병설유치원(8월)'!B24)</x:f>
        <x:v>이리부송초</x:v>
      </x:c>
      <x:c r="D304" s="293" t="n">
        <x:v>46245</x:v>
      </x:c>
      <x:c r="E304" s="294" t="n">
        <x:f>IF('초등학교+병설유치원(8월)'!BA24="",0,'초등학교+병설유치원(8월)'!BA24)</x:f>
        <x:v>21</x:v>
      </x:c>
      <x:c r="F304" s="294" t="n">
        <x:f>IF('초등학교+병설유치원(8월)'!BB24="",0,'초등학교+병설유치원(8월)'!BB24)</x:f>
        <x:v>15</x:v>
      </x:c>
      <x:c r="G304" s="294" t="n">
        <x:f>IF('초등학교+병설유치원(8월)'!BC24="",0,'초등학교+병설유치원(8월)'!BC24)</x:f>
        <x:v>0</x:v>
      </x:c>
      <x:c r="H304" s="294" t="n">
        <x:f>IF('초등학교+병설유치원(8월)'!BD24="",0,'초등학교+병설유치원(8월)'!BD24)</x:f>
        <x:v>0</x:v>
      </x:c>
      <x:c r="I304" s="294" t="n">
        <x:f>IF('초등학교+병설유치원(8월)'!BE24="",0,'초등학교+병설유치원(8월)'!BE24)</x:f>
        <x:v>0</x:v>
      </x:c>
      <x:c r="J304" s="296" t="n">
        <x:f>SUM(E304:I304)</x:f>
        <x:v>36</x:v>
      </x:c>
      <x:c r="K304" s="291" t="str">
        <x:v>8월</x:v>
      </x:c>
    </x:row>
    <x:row r="305">
      <x:c r="A305" s="291" t="n">
        <x:f>IF('초등학교+병설유치원(8월)'!A24="","",'초등학교+병설유치원(8월)'!A24)</x:f>
        <x:v>13</x:v>
      </x:c>
      <x:c r="B305" s="291" t="str">
        <x:v>초등학교</x:v>
      </x:c>
      <x:c r="C305" s="291" t="str">
        <x:f>IF('초등학교+병설유치원(8월)'!B24="","",'초등학교+병설유치원(8월)'!B24)</x:f>
        <x:v>이리부송초</x:v>
      </x:c>
      <x:c r="D305" s="293" t="n">
        <x:v>46246</x:v>
      </x:c>
      <x:c r="E305" s="294" t="n">
        <x:f>IF('초등학교+병설유치원(8월)'!BG24="",0,'초등학교+병설유치원(8월)'!BG24)</x:f>
        <x:v>21</x:v>
      </x:c>
      <x:c r="F305" s="294" t="n">
        <x:f>IF('초등학교+병설유치원(8월)'!BH24="",0,'초등학교+병설유치원(8월)'!BH24)</x:f>
        <x:v>15</x:v>
      </x:c>
      <x:c r="G305" s="294" t="n">
        <x:f>IF('초등학교+병설유치원(8월)'!BI24="",0,'초등학교+병설유치원(8월)'!BI24)</x:f>
        <x:v>0</x:v>
      </x:c>
      <x:c r="H305" s="294" t="n">
        <x:f>IF('초등학교+병설유치원(8월)'!BJ24="",0,'초등학교+병설유치원(8월)'!BJ24)</x:f>
        <x:v>0</x:v>
      </x:c>
      <x:c r="I305" s="294" t="n">
        <x:f>IF('초등학교+병설유치원(8월)'!BK24="",0,'초등학교+병설유치원(8월)'!BK24)</x:f>
        <x:v>0</x:v>
      </x:c>
      <x:c r="J305" s="296" t="n">
        <x:f>SUM(E305:I305)</x:f>
        <x:v>36</x:v>
      </x:c>
      <x:c r="K305" s="291" t="str">
        <x:v>8월</x:v>
      </x:c>
    </x:row>
    <x:row r="306">
      <x:c r="A306" s="291" t="n">
        <x:f>IF('초등학교+병설유치원(8월)'!A24="","",'초등학교+병설유치원(8월)'!A24)</x:f>
        <x:v>13</x:v>
      </x:c>
      <x:c r="B306" s="291" t="str">
        <x:v>초등학교</x:v>
      </x:c>
      <x:c r="C306" s="291" t="str">
        <x:f>IF('초등학교+병설유치원(8월)'!B24="","",'초등학교+병설유치원(8월)'!B24)</x:f>
        <x:v>이리부송초</x:v>
      </x:c>
      <x:c r="D306" s="293" t="n">
        <x:v>46247</x:v>
      </x:c>
      <x:c r="E306" s="294" t="n">
        <x:f>IF('초등학교+병설유치원(8월)'!BM24="",0,'초등학교+병설유치원(8월)'!BM24)</x:f>
        <x:v>21</x:v>
      </x:c>
      <x:c r="F306" s="294" t="n">
        <x:f>IF('초등학교+병설유치원(8월)'!BN24="",0,'초등학교+병설유치원(8월)'!BN24)</x:f>
        <x:v>15</x:v>
      </x:c>
      <x:c r="G306" s="294" t="n">
        <x:f>IF('초등학교+병설유치원(8월)'!BO24="",0,'초등학교+병설유치원(8월)'!BO24)</x:f>
        <x:v>0</x:v>
      </x:c>
      <x:c r="H306" s="294" t="n">
        <x:f>IF('초등학교+병설유치원(8월)'!BP24="",0,'초등학교+병설유치원(8월)'!BP24)</x:f>
        <x:v>0</x:v>
      </x:c>
      <x:c r="I306" s="294" t="n">
        <x:f>IF('초등학교+병설유치원(8월)'!BQ24="",0,'초등학교+병설유치원(8월)'!BQ24)</x:f>
        <x:v>0</x:v>
      </x:c>
      <x:c r="J306" s="296" t="n">
        <x:f>SUM(E306:I306)</x:f>
        <x:v>36</x:v>
      </x:c>
      <x:c r="K306" s="291" t="str">
        <x:v>8월</x:v>
      </x:c>
    </x:row>
    <x:row r="307">
      <x:c r="A307" s="291" t="n">
        <x:f>IF('초등학교+병설유치원(8월)'!A24="","",'초등학교+병설유치원(8월)'!A24)</x:f>
        <x:v>13</x:v>
      </x:c>
      <x:c r="B307" s="291" t="str">
        <x:v>초등학교</x:v>
      </x:c>
      <x:c r="C307" s="291" t="str">
        <x:f>IF('초등학교+병설유치원(8월)'!B24="","",'초등학교+병설유치원(8월)'!B24)</x:f>
        <x:v>이리부송초</x:v>
      </x:c>
      <x:c r="D307" s="293" t="n">
        <x:v>46248</x:v>
      </x:c>
      <x:c r="E307" s="294" t="n">
        <x:f>IF('초등학교+병설유치원(8월)'!BS24="",0,'초등학교+병설유치원(8월)'!BS24)</x:f>
        <x:v>21</x:v>
      </x:c>
      <x:c r="F307" s="294" t="n">
        <x:f>IF('초등학교+병설유치원(8월)'!BT24="",0,'초등학교+병설유치원(8월)'!BT24)</x:f>
        <x:v>15</x:v>
      </x:c>
      <x:c r="G307" s="294" t="n">
        <x:f>IF('초등학교+병설유치원(8월)'!BU24="",0,'초등학교+병설유치원(8월)'!BU24)</x:f>
        <x:v>0</x:v>
      </x:c>
      <x:c r="H307" s="294" t="n">
        <x:f>IF('초등학교+병설유치원(8월)'!BV24="",0,'초등학교+병설유치원(8월)'!BV24)</x:f>
        <x:v>0</x:v>
      </x:c>
      <x:c r="I307" s="294" t="n">
        <x:f>IF('초등학교+병설유치원(8월)'!BW24="",0,'초등학교+병설유치원(8월)'!BW24)</x:f>
        <x:v>0</x:v>
      </x:c>
      <x:c r="J307" s="296" t="n">
        <x:f>SUM(E307:I307)</x:f>
        <x:v>36</x:v>
      </x:c>
      <x:c r="K307" s="291" t="str">
        <x:v>8월</x:v>
      </x:c>
    </x:row>
    <x:row r="308">
      <x:c r="A308" s="291" t="n">
        <x:f>IF('초등학교+병설유치원(8월)'!A24="","",'초등학교+병설유치원(8월)'!A24)</x:f>
        <x:v>13</x:v>
      </x:c>
      <x:c r="B308" s="291" t="str">
        <x:v>초등학교</x:v>
      </x:c>
      <x:c r="C308" s="291" t="str">
        <x:f>IF('초등학교+병설유치원(8월)'!B24="","",'초등학교+병설유치원(8월)'!B24)</x:f>
        <x:v>이리부송초</x:v>
      </x:c>
      <x:c r="D308" s="293" t="n">
        <x:v>46252</x:v>
      </x:c>
      <x:c r="E308" s="294" t="n">
        <x:f>IF('초등학교+병설유치원(8월)'!BY24="",0,'초등학교+병설유치원(8월)'!BY24)</x:f>
        <x:v>21</x:v>
      </x:c>
      <x:c r="F308" s="294" t="n">
        <x:f>IF('초등학교+병설유치원(8월)'!BZ24="",0,'초등학교+병설유치원(8월)'!BZ24)</x:f>
        <x:v>15</x:v>
      </x:c>
      <x:c r="G308" s="294" t="n">
        <x:f>IF('초등학교+병설유치원(8월)'!CA24="",0,'초등학교+병설유치원(8월)'!CA24)</x:f>
        <x:v>0</x:v>
      </x:c>
      <x:c r="H308" s="294" t="n">
        <x:f>IF('초등학교+병설유치원(8월)'!CB24="",0,'초등학교+병설유치원(8월)'!CB24)</x:f>
        <x:v>0</x:v>
      </x:c>
      <x:c r="I308" s="294" t="n">
        <x:f>IF('초등학교+병설유치원(8월)'!CC24="",0,'초등학교+병설유치원(8월)'!CC24)</x:f>
        <x:v>0</x:v>
      </x:c>
      <x:c r="J308" s="296" t="n">
        <x:f>SUM(E308:I308)</x:f>
        <x:v>36</x:v>
      </x:c>
      <x:c r="K308" s="291" t="str">
        <x:v>8월</x:v>
      </x:c>
    </x:row>
    <x:row r="309">
      <x:c r="A309" s="291" t="n">
        <x:f>IF('초등학교+병설유치원(8월)'!A24="","",'초등학교+병설유치원(8월)'!A24)</x:f>
        <x:v>13</x:v>
      </x:c>
      <x:c r="B309" s="291" t="str">
        <x:v>초등학교</x:v>
      </x:c>
      <x:c r="C309" s="291" t="str">
        <x:f>IF('초등학교+병설유치원(8월)'!B24="","",'초등학교+병설유치원(8월)'!B24)</x:f>
        <x:v>이리부송초</x:v>
      </x:c>
      <x:c r="D309" s="293" t="n">
        <x:v>46253</x:v>
      </x:c>
      <x:c r="E309" s="294" t="n">
        <x:f>IF('초등학교+병설유치원(8월)'!CE24="",0,'초등학교+병설유치원(8월)'!CE24)</x:f>
        <x:v>21</x:v>
      </x:c>
      <x:c r="F309" s="294" t="n">
        <x:f>IF('초등학교+병설유치원(8월)'!CF24="",0,'초등학교+병설유치원(8월)'!CF24)</x:f>
        <x:v>15</x:v>
      </x:c>
      <x:c r="G309" s="294" t="n">
        <x:f>IF('초등학교+병설유치원(8월)'!CG24="",0,'초등학교+병설유치원(8월)'!CG24)</x:f>
        <x:v>0</x:v>
      </x:c>
      <x:c r="H309" s="294" t="n">
        <x:f>IF('초등학교+병설유치원(8월)'!CH24="",0,'초등학교+병설유치원(8월)'!CH24)</x:f>
        <x:v>0</x:v>
      </x:c>
      <x:c r="I309" s="294" t="n">
        <x:f>IF('초등학교+병설유치원(8월)'!CI24="",0,'초등학교+병설유치원(8월)'!CI24)</x:f>
        <x:v>0</x:v>
      </x:c>
      <x:c r="J309" s="296" t="n">
        <x:f>SUM(E309:I309)</x:f>
        <x:v>36</x:v>
      </x:c>
      <x:c r="K309" s="291" t="str">
        <x:v>8월</x:v>
      </x:c>
    </x:row>
    <x:row r="310">
      <x:c r="A310" s="291" t="n">
        <x:f>IF('초등학교+병설유치원(8월)'!A24="","",'초등학교+병설유치원(8월)'!A24)</x:f>
        <x:v>13</x:v>
      </x:c>
      <x:c r="B310" s="291" t="str">
        <x:v>초등학교</x:v>
      </x:c>
      <x:c r="C310" s="291" t="str">
        <x:f>IF('초등학교+병설유치원(8월)'!B24="","",'초등학교+병설유치원(8월)'!B24)</x:f>
        <x:v>이리부송초</x:v>
      </x:c>
      <x:c r="D310" s="293" t="n">
        <x:v>46254</x:v>
      </x:c>
      <x:c r="E310" s="294" t="n">
        <x:f>IF('초등학교+병설유치원(8월)'!CK24="",0,'초등학교+병설유치원(8월)'!CK24)</x:f>
        <x:v>21</x:v>
      </x:c>
      <x:c r="F310" s="294" t="n">
        <x:f>IF('초등학교+병설유치원(8월)'!CL24="",0,'초등학교+병설유치원(8월)'!CL24)</x:f>
        <x:v>15</x:v>
      </x:c>
      <x:c r="G310" s="294" t="n">
        <x:f>IF('초등학교+병설유치원(8월)'!CM24="",0,'초등학교+병설유치원(8월)'!CM24)</x:f>
        <x:v>0</x:v>
      </x:c>
      <x:c r="H310" s="294" t="n">
        <x:f>IF('초등학교+병설유치원(8월)'!CN24="",0,'초등학교+병설유치원(8월)'!CN24)</x:f>
        <x:v>0</x:v>
      </x:c>
      <x:c r="I310" s="294" t="n">
        <x:f>IF('초등학교+병설유치원(8월)'!CO24="",0,'초등학교+병설유치원(8월)'!CO24)</x:f>
        <x:v>0</x:v>
      </x:c>
      <x:c r="J310" s="296" t="n">
        <x:f>SUM(E310:I310)</x:f>
        <x:v>36</x:v>
      </x:c>
      <x:c r="K310" s="291" t="str">
        <x:v>8월</x:v>
      </x:c>
    </x:row>
    <x:row r="311">
      <x:c r="A311" s="291" t="n">
        <x:f>IF('초등학교+병설유치원(8월)'!A25="","",'초등학교+병설유치원(8월)'!A25)</x:f>
        <x:v>14</x:v>
      </x:c>
      <x:c r="B311" s="291" t="str">
        <x:v>초등학교</x:v>
      </x:c>
      <x:c r="C311" s="291" t="str">
        <x:f>IF('초등학교+병설유치원(8월)'!B25="","",'초등학교+병설유치원(8월)'!B25)</x:f>
        <x:v>이리부천초</x:v>
      </x:c>
      <x:c r="D311" s="293" t="n">
        <x:v>46237</x:v>
      </x:c>
      <x:c r="E311" s="294" t="n">
        <x:f>IF('초등학교+병설유치원(8월)'!Q25="",0,'초등학교+병설유치원(8월)'!Q25)</x:f>
        <x:v>20</x:v>
      </x:c>
      <x:c r="F311" s="294" t="n">
        <x:f>IF('초등학교+병설유치원(8월)'!R25="",0,'초등학교+병설유치원(8월)'!R25)</x:f>
        <x:v>19</x:v>
      </x:c>
      <x:c r="G311" s="294" t="n">
        <x:f>IF('초등학교+병설유치원(8월)'!S25="",0,'초등학교+병설유치원(8월)'!S25)</x:f>
        <x:v>0</x:v>
      </x:c>
      <x:c r="H311" s="294" t="n">
        <x:f>IF('초등학교+병설유치원(8월)'!T25="",0,'초등학교+병설유치원(8월)'!T25)</x:f>
        <x:v>0</x:v>
      </x:c>
      <x:c r="I311" s="294" t="n">
        <x:f>IF('초등학교+병설유치원(8월)'!U25="",0,'초등학교+병설유치원(8월)'!U25)</x:f>
        <x:v>0</x:v>
      </x:c>
      <x:c r="J311" s="296" t="n">
        <x:f>SUM(E311:I311)</x:f>
        <x:v>39</x:v>
      </x:c>
      <x:c r="K311" s="291" t="str">
        <x:v>8월</x:v>
      </x:c>
    </x:row>
    <x:row r="312">
      <x:c r="A312" s="291" t="n">
        <x:f>IF('초등학교+병설유치원(8월)'!A25="","",'초등학교+병설유치원(8월)'!A25)</x:f>
        <x:v>14</x:v>
      </x:c>
      <x:c r="B312" s="291" t="str">
        <x:v>초등학교</x:v>
      </x:c>
      <x:c r="C312" s="291" t="str">
        <x:f>IF('초등학교+병설유치원(8월)'!B25="","",'초등학교+병설유치원(8월)'!B25)</x:f>
        <x:v>이리부천초</x:v>
      </x:c>
      <x:c r="D312" s="293" t="n">
        <x:v>46238</x:v>
      </x:c>
      <x:c r="E312" s="294" t="n">
        <x:f>IF('초등학교+병설유치원(8월)'!W25="",0,'초등학교+병설유치원(8월)'!W25)</x:f>
        <x:v>20</x:v>
      </x:c>
      <x:c r="F312" s="294" t="n">
        <x:f>IF('초등학교+병설유치원(8월)'!X25="",0,'초등학교+병설유치원(8월)'!X25)</x:f>
        <x:v>19</x:v>
      </x:c>
      <x:c r="G312" s="294" t="n">
        <x:f>IF('초등학교+병설유치원(8월)'!Y25="",0,'초등학교+병설유치원(8월)'!Y25)</x:f>
        <x:v>0</x:v>
      </x:c>
      <x:c r="H312" s="294" t="n">
        <x:f>IF('초등학교+병설유치원(8월)'!Z25="",0,'초등학교+병설유치원(8월)'!Z25)</x:f>
        <x:v>0</x:v>
      </x:c>
      <x:c r="I312" s="294" t="n">
        <x:f>IF('초등학교+병설유치원(8월)'!AA25="",0,'초등학교+병설유치원(8월)'!AA25)</x:f>
        <x:v>0</x:v>
      </x:c>
      <x:c r="J312" s="296" t="n">
        <x:f>SUM(E312:I312)</x:f>
        <x:v>39</x:v>
      </x:c>
      <x:c r="K312" s="291" t="str">
        <x:v>8월</x:v>
      </x:c>
    </x:row>
    <x:row r="313">
      <x:c r="A313" s="291" t="n">
        <x:f>IF('초등학교+병설유치원(8월)'!A25="","",'초등학교+병설유치원(8월)'!A25)</x:f>
        <x:v>14</x:v>
      </x:c>
      <x:c r="B313" s="291" t="str">
        <x:v>초등학교</x:v>
      </x:c>
      <x:c r="C313" s="291" t="str">
        <x:f>IF('초등학교+병설유치원(8월)'!B25="","",'초등학교+병설유치원(8월)'!B25)</x:f>
        <x:v>이리부천초</x:v>
      </x:c>
      <x:c r="D313" s="293" t="n">
        <x:v>46239</x:v>
      </x:c>
      <x:c r="E313" s="294" t="n">
        <x:f>IF('초등학교+병설유치원(8월)'!AC25="",0,'초등학교+병설유치원(8월)'!AC25)</x:f>
        <x:v>20</x:v>
      </x:c>
      <x:c r="F313" s="294" t="n">
        <x:f>IF('초등학교+병설유치원(8월)'!AD25="",0,'초등학교+병설유치원(8월)'!AD25)</x:f>
        <x:v>19</x:v>
      </x:c>
      <x:c r="G313" s="294" t="n">
        <x:f>IF('초등학교+병설유치원(8월)'!AE25="",0,'초등학교+병설유치원(8월)'!AE25)</x:f>
        <x:v>0</x:v>
      </x:c>
      <x:c r="H313" s="294" t="n">
        <x:f>IF('초등학교+병설유치원(8월)'!AF25="",0,'초등학교+병설유치원(8월)'!AF25)</x:f>
        <x:v>0</x:v>
      </x:c>
      <x:c r="I313" s="294" t="n">
        <x:f>IF('초등학교+병설유치원(8월)'!AG25="",0,'초등학교+병설유치원(8월)'!AG25)</x:f>
        <x:v>0</x:v>
      </x:c>
      <x:c r="J313" s="296" t="n">
        <x:f>SUM(E313:I313)</x:f>
        <x:v>39</x:v>
      </x:c>
      <x:c r="K313" s="291" t="str">
        <x:v>8월</x:v>
      </x:c>
    </x:row>
    <x:row r="314">
      <x:c r="A314" s="291" t="n">
        <x:f>IF('초등학교+병설유치원(8월)'!A25="","",'초등학교+병설유치원(8월)'!A25)</x:f>
        <x:v>14</x:v>
      </x:c>
      <x:c r="B314" s="291" t="str">
        <x:v>초등학교</x:v>
      </x:c>
      <x:c r="C314" s="291" t="str">
        <x:f>IF('초등학교+병설유치원(8월)'!B25="","",'초등학교+병설유치원(8월)'!B25)</x:f>
        <x:v>이리부천초</x:v>
      </x:c>
      <x:c r="D314" s="293" t="n">
        <x:v>46240</x:v>
      </x:c>
      <x:c r="E314" s="294" t="n">
        <x:f>IF('초등학교+병설유치원(8월)'!AI25="",0,'초등학교+병설유치원(8월)'!AI25)</x:f>
        <x:v>20</x:v>
      </x:c>
      <x:c r="F314" s="294" t="n">
        <x:f>IF('초등학교+병설유치원(8월)'!AJ25="",0,'초등학교+병설유치원(8월)'!AJ25)</x:f>
        <x:v>19</x:v>
      </x:c>
      <x:c r="G314" s="294" t="n">
        <x:f>IF('초등학교+병설유치원(8월)'!AK25="",0,'초등학교+병설유치원(8월)'!AK25)</x:f>
        <x:v>0</x:v>
      </x:c>
      <x:c r="H314" s="294" t="n">
        <x:f>IF('초등학교+병설유치원(8월)'!AL25="",0,'초등학교+병설유치원(8월)'!AL25)</x:f>
        <x:v>0</x:v>
      </x:c>
      <x:c r="I314" s="294" t="n">
        <x:f>IF('초등학교+병설유치원(8월)'!AM25="",0,'초등학교+병설유치원(8월)'!AM25)</x:f>
        <x:v>0</x:v>
      </x:c>
      <x:c r="J314" s="296" t="n">
        <x:f>SUM(E314:I314)</x:f>
        <x:v>39</x:v>
      </x:c>
      <x:c r="K314" s="291" t="str">
        <x:v>8월</x:v>
      </x:c>
    </x:row>
    <x:row r="315">
      <x:c r="A315" s="291" t="n">
        <x:f>IF('초등학교+병설유치원(8월)'!A25="","",'초등학교+병설유치원(8월)'!A25)</x:f>
        <x:v>14</x:v>
      </x:c>
      <x:c r="B315" s="291" t="str">
        <x:v>초등학교</x:v>
      </x:c>
      <x:c r="C315" s="291" t="str">
        <x:f>IF('초등학교+병설유치원(8월)'!B25="","",'초등학교+병설유치원(8월)'!B25)</x:f>
        <x:v>이리부천초</x:v>
      </x:c>
      <x:c r="D315" s="293" t="n">
        <x:v>46241</x:v>
      </x:c>
      <x:c r="E315" s="294" t="n">
        <x:f>IF('초등학교+병설유치원(8월)'!AO25="",0,'초등학교+병설유치원(8월)'!AO25)</x:f>
        <x:v>20</x:v>
      </x:c>
      <x:c r="F315" s="294" t="n">
        <x:f>IF('초등학교+병설유치원(8월)'!AP25="",0,'초등학교+병설유치원(8월)'!AP25)</x:f>
        <x:v>19</x:v>
      </x:c>
      <x:c r="G315" s="294" t="n">
        <x:f>IF('초등학교+병설유치원(8월)'!AQ25="",0,'초등학교+병설유치원(8월)'!AQ25)</x:f>
        <x:v>0</x:v>
      </x:c>
      <x:c r="H315" s="294" t="n">
        <x:f>IF('초등학교+병설유치원(8월)'!AR25="",0,'초등학교+병설유치원(8월)'!AR25)</x:f>
        <x:v>0</x:v>
      </x:c>
      <x:c r="I315" s="294" t="n">
        <x:f>IF('초등학교+병설유치원(8월)'!AS25="",0,'초등학교+병설유치원(8월)'!AS25)</x:f>
        <x:v>0</x:v>
      </x:c>
      <x:c r="J315" s="296" t="n">
        <x:f>SUM(E315:I315)</x:f>
        <x:v>39</x:v>
      </x:c>
      <x:c r="K315" s="291" t="str">
        <x:v>8월</x:v>
      </x:c>
    </x:row>
    <x:row r="316">
      <x:c r="A316" s="291" t="n">
        <x:f>IF('초등학교+병설유치원(8월)'!A25="","",'초등학교+병설유치원(8월)'!A25)</x:f>
        <x:v>14</x:v>
      </x:c>
      <x:c r="B316" s="291" t="str">
        <x:v>초등학교</x:v>
      </x:c>
      <x:c r="C316" s="291" t="str">
        <x:f>IF('초등학교+병설유치원(8월)'!B25="","",'초등학교+병설유치원(8월)'!B25)</x:f>
        <x:v>이리부천초</x:v>
      </x:c>
      <x:c r="D316" s="293" t="n">
        <x:v>46244</x:v>
      </x:c>
      <x:c r="E316" s="294" t="n">
        <x:f>IF('초등학교+병설유치원(8월)'!AU25="",0,'초등학교+병설유치원(8월)'!AU25)</x:f>
        <x:v>20</x:v>
      </x:c>
      <x:c r="F316" s="294" t="n">
        <x:f>IF('초등학교+병설유치원(8월)'!AV25="",0,'초등학교+병설유치원(8월)'!AV25)</x:f>
        <x:v>19</x:v>
      </x:c>
      <x:c r="G316" s="294" t="n">
        <x:f>IF('초등학교+병설유치원(8월)'!AW25="",0,'초등학교+병설유치원(8월)'!AW25)</x:f>
        <x:v>0</x:v>
      </x:c>
      <x:c r="H316" s="294" t="n">
        <x:f>IF('초등학교+병설유치원(8월)'!AX25="",0,'초등학교+병설유치원(8월)'!AX25)</x:f>
        <x:v>0</x:v>
      </x:c>
      <x:c r="I316" s="294" t="n">
        <x:f>IF('초등학교+병설유치원(8월)'!AY25="",0,'초등학교+병설유치원(8월)'!AY25)</x:f>
        <x:v>0</x:v>
      </x:c>
      <x:c r="J316" s="296" t="n">
        <x:f>SUM(E316:I316)</x:f>
        <x:v>39</x:v>
      </x:c>
      <x:c r="K316" s="291" t="str">
        <x:v>8월</x:v>
      </x:c>
    </x:row>
    <x:row r="317">
      <x:c r="A317" s="291" t="n">
        <x:f>IF('초등학교+병설유치원(8월)'!A25="","",'초등학교+병설유치원(8월)'!A25)</x:f>
        <x:v>14</x:v>
      </x:c>
      <x:c r="B317" s="291" t="str">
        <x:v>초등학교</x:v>
      </x:c>
      <x:c r="C317" s="291" t="str">
        <x:f>IF('초등학교+병설유치원(8월)'!B25="","",'초등학교+병설유치원(8월)'!B25)</x:f>
        <x:v>이리부천초</x:v>
      </x:c>
      <x:c r="D317" s="293" t="n">
        <x:v>46245</x:v>
      </x:c>
      <x:c r="E317" s="294" t="n">
        <x:f>IF('초등학교+병설유치원(8월)'!BA25="",0,'초등학교+병설유치원(8월)'!BA25)</x:f>
        <x:v>20</x:v>
      </x:c>
      <x:c r="F317" s="294" t="n">
        <x:f>IF('초등학교+병설유치원(8월)'!BB25="",0,'초등학교+병설유치원(8월)'!BB25)</x:f>
        <x:v>19</x:v>
      </x:c>
      <x:c r="G317" s="294" t="n">
        <x:f>IF('초등학교+병설유치원(8월)'!BC25="",0,'초등학교+병설유치원(8월)'!BC25)</x:f>
        <x:v>0</x:v>
      </x:c>
      <x:c r="H317" s="294" t="n">
        <x:f>IF('초등학교+병설유치원(8월)'!BD25="",0,'초등학교+병설유치원(8월)'!BD25)</x:f>
        <x:v>0</x:v>
      </x:c>
      <x:c r="I317" s="294" t="n">
        <x:f>IF('초등학교+병설유치원(8월)'!BE25="",0,'초등학교+병설유치원(8월)'!BE25)</x:f>
        <x:v>0</x:v>
      </x:c>
      <x:c r="J317" s="296" t="n">
        <x:f>SUM(E317:I317)</x:f>
        <x:v>39</x:v>
      </x:c>
      <x:c r="K317" s="291" t="str">
        <x:v>8월</x:v>
      </x:c>
    </x:row>
    <x:row r="318">
      <x:c r="A318" s="291" t="n">
        <x:f>IF('초등학교+병설유치원(8월)'!A25="","",'초등학교+병설유치원(8월)'!A25)</x:f>
        <x:v>14</x:v>
      </x:c>
      <x:c r="B318" s="291" t="str">
        <x:v>초등학교</x:v>
      </x:c>
      <x:c r="C318" s="291" t="str">
        <x:f>IF('초등학교+병설유치원(8월)'!B25="","",'초등학교+병설유치원(8월)'!B25)</x:f>
        <x:v>이리부천초</x:v>
      </x:c>
      <x:c r="D318" s="293" t="n">
        <x:v>46246</x:v>
      </x:c>
      <x:c r="E318" s="294" t="n">
        <x:f>IF('초등학교+병설유치원(8월)'!BG25="",0,'초등학교+병설유치원(8월)'!BG25)</x:f>
        <x:v>20</x:v>
      </x:c>
      <x:c r="F318" s="294" t="n">
        <x:f>IF('초등학교+병설유치원(8월)'!BH25="",0,'초등학교+병설유치원(8월)'!BH25)</x:f>
        <x:v>19</x:v>
      </x:c>
      <x:c r="G318" s="294" t="n">
        <x:f>IF('초등학교+병설유치원(8월)'!BI25="",0,'초등학교+병설유치원(8월)'!BI25)</x:f>
        <x:v>0</x:v>
      </x:c>
      <x:c r="H318" s="294" t="n">
        <x:f>IF('초등학교+병설유치원(8월)'!BJ25="",0,'초등학교+병설유치원(8월)'!BJ25)</x:f>
        <x:v>0</x:v>
      </x:c>
      <x:c r="I318" s="294" t="n">
        <x:f>IF('초등학교+병설유치원(8월)'!BK25="",0,'초등학교+병설유치원(8월)'!BK25)</x:f>
        <x:v>0</x:v>
      </x:c>
      <x:c r="J318" s="296" t="n">
        <x:f>SUM(E318:I318)</x:f>
        <x:v>39</x:v>
      </x:c>
      <x:c r="K318" s="291" t="str">
        <x:v>8월</x:v>
      </x:c>
    </x:row>
    <x:row r="319">
      <x:c r="A319" s="291" t="n">
        <x:f>IF('초등학교+병설유치원(8월)'!A25="","",'초등학교+병설유치원(8월)'!A25)</x:f>
        <x:v>14</x:v>
      </x:c>
      <x:c r="B319" s="291" t="str">
        <x:v>초등학교</x:v>
      </x:c>
      <x:c r="C319" s="291" t="str">
        <x:f>IF('초등학교+병설유치원(8월)'!B25="","",'초등학교+병설유치원(8월)'!B25)</x:f>
        <x:v>이리부천초</x:v>
      </x:c>
      <x:c r="D319" s="293" t="n">
        <x:v>46247</x:v>
      </x:c>
      <x:c r="E319" s="294" t="n">
        <x:f>IF('초등학교+병설유치원(8월)'!BM25="",0,'초등학교+병설유치원(8월)'!BM25)</x:f>
        <x:v>20</x:v>
      </x:c>
      <x:c r="F319" s="294" t="n">
        <x:f>IF('초등학교+병설유치원(8월)'!BN25="",0,'초등학교+병설유치원(8월)'!BN25)</x:f>
        <x:v>19</x:v>
      </x:c>
      <x:c r="G319" s="294" t="n">
        <x:f>IF('초등학교+병설유치원(8월)'!BO25="",0,'초등학교+병설유치원(8월)'!BO25)</x:f>
        <x:v>0</x:v>
      </x:c>
      <x:c r="H319" s="294" t="n">
        <x:f>IF('초등학교+병설유치원(8월)'!BP25="",0,'초등학교+병설유치원(8월)'!BP25)</x:f>
        <x:v>0</x:v>
      </x:c>
      <x:c r="I319" s="294" t="n">
        <x:f>IF('초등학교+병설유치원(8월)'!BQ25="",0,'초등학교+병설유치원(8월)'!BQ25)</x:f>
        <x:v>0</x:v>
      </x:c>
      <x:c r="J319" s="296" t="n">
        <x:f>SUM(E319:I319)</x:f>
        <x:v>39</x:v>
      </x:c>
      <x:c r="K319" s="291" t="str">
        <x:v>8월</x:v>
      </x:c>
    </x:row>
    <x:row r="320">
      <x:c r="A320" s="291" t="n">
        <x:f>IF('초등학교+병설유치원(8월)'!A25="","",'초등학교+병설유치원(8월)'!A25)</x:f>
        <x:v>14</x:v>
      </x:c>
      <x:c r="B320" s="291" t="str">
        <x:v>초등학교</x:v>
      </x:c>
      <x:c r="C320" s="291" t="str">
        <x:f>IF('초등학교+병설유치원(8월)'!B25="","",'초등학교+병설유치원(8월)'!B25)</x:f>
        <x:v>이리부천초</x:v>
      </x:c>
      <x:c r="D320" s="293" t="n">
        <x:v>46248</x:v>
      </x:c>
      <x:c r="E320" s="294" t="n">
        <x:f>IF('초등학교+병설유치원(8월)'!BS25="",0,'초등학교+병설유치원(8월)'!BS25)</x:f>
        <x:v>20</x:v>
      </x:c>
      <x:c r="F320" s="294" t="n">
        <x:f>IF('초등학교+병설유치원(8월)'!BT25="",0,'초등학교+병설유치원(8월)'!BT25)</x:f>
        <x:v>19</x:v>
      </x:c>
      <x:c r="G320" s="294" t="n">
        <x:f>IF('초등학교+병설유치원(8월)'!BU25="",0,'초등학교+병설유치원(8월)'!BU25)</x:f>
        <x:v>0</x:v>
      </x:c>
      <x:c r="H320" s="294" t="n">
        <x:f>IF('초등학교+병설유치원(8월)'!BV25="",0,'초등학교+병설유치원(8월)'!BV25)</x:f>
        <x:v>0</x:v>
      </x:c>
      <x:c r="I320" s="294" t="n">
        <x:f>IF('초등학교+병설유치원(8월)'!BW25="",0,'초등학교+병설유치원(8월)'!BW25)</x:f>
        <x:v>0</x:v>
      </x:c>
      <x:c r="J320" s="296" t="n">
        <x:f>SUM(E320:I320)</x:f>
        <x:v>39</x:v>
      </x:c>
      <x:c r="K320" s="291" t="str">
        <x:v>8월</x:v>
      </x:c>
    </x:row>
    <x:row r="321">
      <x:c r="A321" s="291" t="n">
        <x:f>IF('초등학교+병설유치원(8월)'!A25="","",'초등학교+병설유치원(8월)'!A25)</x:f>
        <x:v>14</x:v>
      </x:c>
      <x:c r="B321" s="291" t="str">
        <x:v>초등학교</x:v>
      </x:c>
      <x:c r="C321" s="291" t="str">
        <x:f>IF('초등학교+병설유치원(8월)'!B25="","",'초등학교+병설유치원(8월)'!B25)</x:f>
        <x:v>이리부천초</x:v>
      </x:c>
      <x:c r="D321" s="293" t="n">
        <x:v>46252</x:v>
      </x:c>
      <x:c r="E321" s="294" t="n">
        <x:f>IF('초등학교+병설유치원(8월)'!BY25="",0,'초등학교+병설유치원(8월)'!BY25)</x:f>
        <x:v>20</x:v>
      </x:c>
      <x:c r="F321" s="294" t="n">
        <x:f>IF('초등학교+병설유치원(8월)'!BZ25="",0,'초등학교+병설유치원(8월)'!BZ25)</x:f>
        <x:v>19</x:v>
      </x:c>
      <x:c r="G321" s="294" t="n">
        <x:f>IF('초등학교+병설유치원(8월)'!CA25="",0,'초등학교+병설유치원(8월)'!CA25)</x:f>
        <x:v>0</x:v>
      </x:c>
      <x:c r="H321" s="294" t="n">
        <x:f>IF('초등학교+병설유치원(8월)'!CB25="",0,'초등학교+병설유치원(8월)'!CB25)</x:f>
        <x:v>0</x:v>
      </x:c>
      <x:c r="I321" s="294" t="n">
        <x:f>IF('초등학교+병설유치원(8월)'!CC25="",0,'초등학교+병설유치원(8월)'!CC25)</x:f>
        <x:v>0</x:v>
      </x:c>
      <x:c r="J321" s="296" t="n">
        <x:f>SUM(E321:I321)</x:f>
        <x:v>39</x:v>
      </x:c>
      <x:c r="K321" s="291" t="str">
        <x:v>8월</x:v>
      </x:c>
    </x:row>
    <x:row r="322">
      <x:c r="A322" s="291" t="str">
        <x:f>IF('초등학교+병설유치원(8월)'!A26="","",'초등학교+병설유치원(8월)'!A26)</x:f>
        <x:v>14-1</x:v>
      </x:c>
      <x:c r="B322" s="291" t="str">
        <x:v>병설유치원</x:v>
      </x:c>
      <x:c r="C322" s="291" t="str">
        <x:f>IF('초등학교+병설유치원(8월)'!B26="","",'초등학교+병설유치원(8월)'!B26)</x:f>
        <x:v>이리부천초 병설유치원</x:v>
      </x:c>
      <x:c r="D322" s="293" t="n">
        <x:v>46237</x:v>
      </x:c>
      <x:c r="E322" s="294" t="n">
        <x:f>IF('초등학교+병설유치원(8월)'!Q26="",0,'초등학교+병설유치원(8월)'!Q26)</x:f>
        <x:v>11</x:v>
      </x:c>
      <x:c r="F322" s="294" t="n">
        <x:f>IF('초등학교+병설유치원(8월)'!R26="",0,'초등학교+병설유치원(8월)'!R26)</x:f>
        <x:v>0</x:v>
      </x:c>
      <x:c r="G322" s="294" t="n">
        <x:f>IF('초등학교+병설유치원(8월)'!S26="",0,'초등학교+병설유치원(8월)'!S26)</x:f>
        <x:v>0</x:v>
      </x:c>
      <x:c r="H322" s="294" t="n">
        <x:f>IF('초등학교+병설유치원(8월)'!T26="",0,'초등학교+병설유치원(8월)'!T26)</x:f>
        <x:v>0</x:v>
      </x:c>
      <x:c r="I322" s="294" t="n">
        <x:f>IF('초등학교+병설유치원(8월)'!U26="",0,'초등학교+병설유치원(8월)'!U26)</x:f>
        <x:v>0</x:v>
      </x:c>
      <x:c r="J322" s="296" t="n">
        <x:f>SUM(E322:I322)</x:f>
        <x:v>11</x:v>
      </x:c>
      <x:c r="K322" s="291" t="str">
        <x:v>8월</x:v>
      </x:c>
    </x:row>
    <x:row r="323">
      <x:c r="A323" s="291" t="str">
        <x:f>IF('초등학교+병설유치원(8월)'!A26="","",'초등학교+병설유치원(8월)'!A26)</x:f>
        <x:v>14-1</x:v>
      </x:c>
      <x:c r="B323" s="291" t="str">
        <x:v>병설유치원</x:v>
      </x:c>
      <x:c r="C323" s="291" t="str">
        <x:f>IF('초등학교+병설유치원(8월)'!B26="","",'초등학교+병설유치원(8월)'!B26)</x:f>
        <x:v>이리부천초 병설유치원</x:v>
      </x:c>
      <x:c r="D323" s="293" t="n">
        <x:v>46238</x:v>
      </x:c>
      <x:c r="E323" s="294" t="n">
        <x:f>IF('초등학교+병설유치원(8월)'!W26="",0,'초등학교+병설유치원(8월)'!W26)</x:f>
        <x:v>11</x:v>
      </x:c>
      <x:c r="F323" s="294" t="n">
        <x:f>IF('초등학교+병설유치원(8월)'!X26="",0,'초등학교+병설유치원(8월)'!X26)</x:f>
        <x:v>0</x:v>
      </x:c>
      <x:c r="G323" s="294" t="n">
        <x:f>IF('초등학교+병설유치원(8월)'!Y26="",0,'초등학교+병설유치원(8월)'!Y26)</x:f>
        <x:v>0</x:v>
      </x:c>
      <x:c r="H323" s="294" t="n">
        <x:f>IF('초등학교+병설유치원(8월)'!Z26="",0,'초등학교+병설유치원(8월)'!Z26)</x:f>
        <x:v>0</x:v>
      </x:c>
      <x:c r="I323" s="294" t="n">
        <x:f>IF('초등학교+병설유치원(8월)'!AA26="",0,'초등학교+병설유치원(8월)'!AA26)</x:f>
        <x:v>0</x:v>
      </x:c>
      <x:c r="J323" s="296" t="n">
        <x:f>SUM(E323:I323)</x:f>
        <x:v>11</x:v>
      </x:c>
      <x:c r="K323" s="291" t="str">
        <x:v>8월</x:v>
      </x:c>
    </x:row>
    <x:row r="324">
      <x:c r="A324" s="291" t="str">
        <x:f>IF('초등학교+병설유치원(8월)'!A26="","",'초등학교+병설유치원(8월)'!A26)</x:f>
        <x:v>14-1</x:v>
      </x:c>
      <x:c r="B324" s="291" t="str">
        <x:v>병설유치원</x:v>
      </x:c>
      <x:c r="C324" s="291" t="str">
        <x:f>IF('초등학교+병설유치원(8월)'!B26="","",'초등학교+병설유치원(8월)'!B26)</x:f>
        <x:v>이리부천초 병설유치원</x:v>
      </x:c>
      <x:c r="D324" s="293" t="n">
        <x:v>46239</x:v>
      </x:c>
      <x:c r="E324" s="294" t="n">
        <x:f>IF('초등학교+병설유치원(8월)'!AC26="",0,'초등학교+병설유치원(8월)'!AC26)</x:f>
        <x:v>11</x:v>
      </x:c>
      <x:c r="F324" s="294" t="n">
        <x:f>IF('초등학교+병설유치원(8월)'!AD26="",0,'초등학교+병설유치원(8월)'!AD26)</x:f>
        <x:v>0</x:v>
      </x:c>
      <x:c r="G324" s="294" t="n">
        <x:f>IF('초등학교+병설유치원(8월)'!AE26="",0,'초등학교+병설유치원(8월)'!AE26)</x:f>
        <x:v>0</x:v>
      </x:c>
      <x:c r="H324" s="294" t="n">
        <x:f>IF('초등학교+병설유치원(8월)'!AF26="",0,'초등학교+병설유치원(8월)'!AF26)</x:f>
        <x:v>0</x:v>
      </x:c>
      <x:c r="I324" s="294" t="n">
        <x:f>IF('초등학교+병설유치원(8월)'!AG26="",0,'초등학교+병설유치원(8월)'!AG26)</x:f>
        <x:v>0</x:v>
      </x:c>
      <x:c r="J324" s="296" t="n">
        <x:f>SUM(E324:I324)</x:f>
        <x:v>11</x:v>
      </x:c>
      <x:c r="K324" s="291" t="str">
        <x:v>8월</x:v>
      </x:c>
    </x:row>
    <x:row r="325">
      <x:c r="A325" s="291" t="str">
        <x:f>IF('초등학교+병설유치원(8월)'!A26="","",'초등학교+병설유치원(8월)'!A26)</x:f>
        <x:v>14-1</x:v>
      </x:c>
      <x:c r="B325" s="291" t="str">
        <x:v>병설유치원</x:v>
      </x:c>
      <x:c r="C325" s="291" t="str">
        <x:f>IF('초등학교+병설유치원(8월)'!B26="","",'초등학교+병설유치원(8월)'!B26)</x:f>
        <x:v>이리부천초 병설유치원</x:v>
      </x:c>
      <x:c r="D325" s="293" t="n">
        <x:v>46240</x:v>
      </x:c>
      <x:c r="E325" s="294" t="n">
        <x:f>IF('초등학교+병설유치원(8월)'!AI26="",0,'초등학교+병설유치원(8월)'!AI26)</x:f>
        <x:v>11</x:v>
      </x:c>
      <x:c r="F325" s="294" t="n">
        <x:f>IF('초등학교+병설유치원(8월)'!AJ26="",0,'초등학교+병설유치원(8월)'!AJ26)</x:f>
        <x:v>0</x:v>
      </x:c>
      <x:c r="G325" s="294" t="n">
        <x:f>IF('초등학교+병설유치원(8월)'!AK26="",0,'초등학교+병설유치원(8월)'!AK26)</x:f>
        <x:v>0</x:v>
      </x:c>
      <x:c r="H325" s="294" t="n">
        <x:f>IF('초등학교+병설유치원(8월)'!AL26="",0,'초등학교+병설유치원(8월)'!AL26)</x:f>
        <x:v>0</x:v>
      </x:c>
      <x:c r="I325" s="294" t="n">
        <x:f>IF('초등학교+병설유치원(8월)'!AM26="",0,'초등학교+병설유치원(8월)'!AM26)</x:f>
        <x:v>0</x:v>
      </x:c>
      <x:c r="J325" s="296" t="n">
        <x:f>SUM(E325:I325)</x:f>
        <x:v>11</x:v>
      </x:c>
      <x:c r="K325" s="291" t="str">
        <x:v>8월</x:v>
      </x:c>
    </x:row>
    <x:row r="326">
      <x:c r="A326" s="291" t="str">
        <x:f>IF('초등학교+병설유치원(8월)'!A26="","",'초등학교+병설유치원(8월)'!A26)</x:f>
        <x:v>14-1</x:v>
      </x:c>
      <x:c r="B326" s="291" t="str">
        <x:v>병설유치원</x:v>
      </x:c>
      <x:c r="C326" s="291" t="str">
        <x:f>IF('초등학교+병설유치원(8월)'!B26="","",'초등학교+병설유치원(8월)'!B26)</x:f>
        <x:v>이리부천초 병설유치원</x:v>
      </x:c>
      <x:c r="D326" s="293" t="n">
        <x:v>46241</x:v>
      </x:c>
      <x:c r="E326" s="294" t="n">
        <x:f>IF('초등학교+병설유치원(8월)'!AO26="",0,'초등학교+병설유치원(8월)'!AO26)</x:f>
        <x:v>11</x:v>
      </x:c>
      <x:c r="F326" s="294" t="n">
        <x:f>IF('초등학교+병설유치원(8월)'!AP26="",0,'초등학교+병설유치원(8월)'!AP26)</x:f>
        <x:v>0</x:v>
      </x:c>
      <x:c r="G326" s="294" t="n">
        <x:f>IF('초등학교+병설유치원(8월)'!AQ26="",0,'초등학교+병설유치원(8월)'!AQ26)</x:f>
        <x:v>0</x:v>
      </x:c>
      <x:c r="H326" s="294" t="n">
        <x:f>IF('초등학교+병설유치원(8월)'!AR26="",0,'초등학교+병설유치원(8월)'!AR26)</x:f>
        <x:v>0</x:v>
      </x:c>
      <x:c r="I326" s="294" t="n">
        <x:f>IF('초등학교+병설유치원(8월)'!AS26="",0,'초등학교+병설유치원(8월)'!AS26)</x:f>
        <x:v>0</x:v>
      </x:c>
      <x:c r="J326" s="296" t="n">
        <x:f>SUM(E326:I326)</x:f>
        <x:v>11</x:v>
      </x:c>
      <x:c r="K326" s="291" t="str">
        <x:v>8월</x:v>
      </x:c>
    </x:row>
    <x:row r="327">
      <x:c r="A327" s="291" t="str">
        <x:f>IF('초등학교+병설유치원(8월)'!A26="","",'초등학교+병설유치원(8월)'!A26)</x:f>
        <x:v>14-1</x:v>
      </x:c>
      <x:c r="B327" s="291" t="str">
        <x:v>병설유치원</x:v>
      </x:c>
      <x:c r="C327" s="291" t="str">
        <x:f>IF('초등학교+병설유치원(8월)'!B26="","",'초등학교+병설유치원(8월)'!B26)</x:f>
        <x:v>이리부천초 병설유치원</x:v>
      </x:c>
      <x:c r="D327" s="293" t="n">
        <x:v>46244</x:v>
      </x:c>
      <x:c r="E327" s="294" t="n">
        <x:f>IF('초등학교+병설유치원(8월)'!AU26="",0,'초등학교+병설유치원(8월)'!AU26)</x:f>
        <x:v>11</x:v>
      </x:c>
      <x:c r="F327" s="294" t="n">
        <x:f>IF('초등학교+병설유치원(8월)'!AV26="",0,'초등학교+병설유치원(8월)'!AV26)</x:f>
        <x:v>0</x:v>
      </x:c>
      <x:c r="G327" s="294" t="n">
        <x:f>IF('초등학교+병설유치원(8월)'!AW26="",0,'초등학교+병설유치원(8월)'!AW26)</x:f>
        <x:v>0</x:v>
      </x:c>
      <x:c r="H327" s="294" t="n">
        <x:f>IF('초등학교+병설유치원(8월)'!AX26="",0,'초등학교+병설유치원(8월)'!AX26)</x:f>
        <x:v>0</x:v>
      </x:c>
      <x:c r="I327" s="294" t="n">
        <x:f>IF('초등학교+병설유치원(8월)'!AY26="",0,'초등학교+병설유치원(8월)'!AY26)</x:f>
        <x:v>0</x:v>
      </x:c>
      <x:c r="J327" s="296" t="n">
        <x:f>SUM(E327:I327)</x:f>
        <x:v>11</x:v>
      </x:c>
      <x:c r="K327" s="291" t="str">
        <x:v>8월</x:v>
      </x:c>
    </x:row>
    <x:row r="328">
      <x:c r="A328" s="291" t="str">
        <x:f>IF('초등학교+병설유치원(8월)'!A26="","",'초등학교+병설유치원(8월)'!A26)</x:f>
        <x:v>14-1</x:v>
      </x:c>
      <x:c r="B328" s="291" t="str">
        <x:v>병설유치원</x:v>
      </x:c>
      <x:c r="C328" s="291" t="str">
        <x:f>IF('초등학교+병설유치원(8월)'!B26="","",'초등학교+병설유치원(8월)'!B26)</x:f>
        <x:v>이리부천초 병설유치원</x:v>
      </x:c>
      <x:c r="D328" s="293" t="n">
        <x:v>46245</x:v>
      </x:c>
      <x:c r="E328" s="294" t="n">
        <x:f>IF('초등학교+병설유치원(8월)'!BA26="",0,'초등학교+병설유치원(8월)'!BA26)</x:f>
        <x:v>11</x:v>
      </x:c>
      <x:c r="F328" s="294" t="n">
        <x:f>IF('초등학교+병설유치원(8월)'!BB26="",0,'초등학교+병설유치원(8월)'!BB26)</x:f>
        <x:v>0</x:v>
      </x:c>
      <x:c r="G328" s="294" t="n">
        <x:f>IF('초등학교+병설유치원(8월)'!BC26="",0,'초등학교+병설유치원(8월)'!BC26)</x:f>
        <x:v>0</x:v>
      </x:c>
      <x:c r="H328" s="294" t="n">
        <x:f>IF('초등학교+병설유치원(8월)'!BD26="",0,'초등학교+병설유치원(8월)'!BD26)</x:f>
        <x:v>0</x:v>
      </x:c>
      <x:c r="I328" s="294" t="n">
        <x:f>IF('초등학교+병설유치원(8월)'!BE26="",0,'초등학교+병설유치원(8월)'!BE26)</x:f>
        <x:v>0</x:v>
      </x:c>
      <x:c r="J328" s="296" t="n">
        <x:f>SUM(E328:I328)</x:f>
        <x:v>11</x:v>
      </x:c>
      <x:c r="K328" s="291" t="str">
        <x:v>8월</x:v>
      </x:c>
    </x:row>
    <x:row r="329">
      <x:c r="A329" s="291" t="str">
        <x:f>IF('초등학교+병설유치원(8월)'!A26="","",'초등학교+병설유치원(8월)'!A26)</x:f>
        <x:v>14-1</x:v>
      </x:c>
      <x:c r="B329" s="291" t="str">
        <x:v>병설유치원</x:v>
      </x:c>
      <x:c r="C329" s="291" t="str">
        <x:f>IF('초등학교+병설유치원(8월)'!B26="","",'초등학교+병설유치원(8월)'!B26)</x:f>
        <x:v>이리부천초 병설유치원</x:v>
      </x:c>
      <x:c r="D329" s="293" t="n">
        <x:v>46246</x:v>
      </x:c>
      <x:c r="E329" s="294" t="n">
        <x:f>IF('초등학교+병설유치원(8월)'!BG26="",0,'초등학교+병설유치원(8월)'!BG26)</x:f>
        <x:v>11</x:v>
      </x:c>
      <x:c r="F329" s="294" t="n">
        <x:f>IF('초등학교+병설유치원(8월)'!BH26="",0,'초등학교+병설유치원(8월)'!BH26)</x:f>
        <x:v>0</x:v>
      </x:c>
      <x:c r="G329" s="294" t="n">
        <x:f>IF('초등학교+병설유치원(8월)'!BI26="",0,'초등학교+병설유치원(8월)'!BI26)</x:f>
        <x:v>0</x:v>
      </x:c>
      <x:c r="H329" s="294" t="n">
        <x:f>IF('초등학교+병설유치원(8월)'!BJ26="",0,'초등학교+병설유치원(8월)'!BJ26)</x:f>
        <x:v>0</x:v>
      </x:c>
      <x:c r="I329" s="294" t="n">
        <x:f>IF('초등학교+병설유치원(8월)'!BK26="",0,'초등학교+병설유치원(8월)'!BK26)</x:f>
        <x:v>0</x:v>
      </x:c>
      <x:c r="J329" s="296" t="n">
        <x:f>SUM(E329:I329)</x:f>
        <x:v>11</x:v>
      </x:c>
      <x:c r="K329" s="291" t="str">
        <x:v>8월</x:v>
      </x:c>
    </x:row>
    <x:row r="330">
      <x:c r="A330" s="291" t="str">
        <x:f>IF('초등학교+병설유치원(8월)'!A26="","",'초등학교+병설유치원(8월)'!A26)</x:f>
        <x:v>14-1</x:v>
      </x:c>
      <x:c r="B330" s="291" t="str">
        <x:v>병설유치원</x:v>
      </x:c>
      <x:c r="C330" s="291" t="str">
        <x:f>IF('초등학교+병설유치원(8월)'!B26="","",'초등학교+병설유치원(8월)'!B26)</x:f>
        <x:v>이리부천초 병설유치원</x:v>
      </x:c>
      <x:c r="D330" s="293" t="n">
        <x:v>46247</x:v>
      </x:c>
      <x:c r="E330" s="294" t="n">
        <x:f>IF('초등학교+병설유치원(8월)'!BM26="",0,'초등학교+병설유치원(8월)'!BM26)</x:f>
        <x:v>11</x:v>
      </x:c>
      <x:c r="F330" s="294" t="n">
        <x:f>IF('초등학교+병설유치원(8월)'!BN26="",0,'초등학교+병설유치원(8월)'!BN26)</x:f>
        <x:v>0</x:v>
      </x:c>
      <x:c r="G330" s="294" t="n">
        <x:f>IF('초등학교+병설유치원(8월)'!BO26="",0,'초등학교+병설유치원(8월)'!BO26)</x:f>
        <x:v>0</x:v>
      </x:c>
      <x:c r="H330" s="294" t="n">
        <x:f>IF('초등학교+병설유치원(8월)'!BP26="",0,'초등학교+병설유치원(8월)'!BP26)</x:f>
        <x:v>0</x:v>
      </x:c>
      <x:c r="I330" s="294" t="n">
        <x:f>IF('초등학교+병설유치원(8월)'!BQ26="",0,'초등학교+병설유치원(8월)'!BQ26)</x:f>
        <x:v>0</x:v>
      </x:c>
      <x:c r="J330" s="296" t="n">
        <x:f>SUM(E330:I330)</x:f>
        <x:v>11</x:v>
      </x:c>
      <x:c r="K330" s="291" t="str">
        <x:v>8월</x:v>
      </x:c>
    </x:row>
    <x:row r="331">
      <x:c r="A331" s="291" t="str">
        <x:f>IF('초등학교+병설유치원(8월)'!A26="","",'초등학교+병설유치원(8월)'!A26)</x:f>
        <x:v>14-1</x:v>
      </x:c>
      <x:c r="B331" s="291" t="str">
        <x:v>병설유치원</x:v>
      </x:c>
      <x:c r="C331" s="291" t="str">
        <x:f>IF('초등학교+병설유치원(8월)'!B26="","",'초등학교+병설유치원(8월)'!B26)</x:f>
        <x:v>이리부천초 병설유치원</x:v>
      </x:c>
      <x:c r="D331" s="293" t="n">
        <x:v>46248</x:v>
      </x:c>
      <x:c r="E331" s="294" t="n">
        <x:f>IF('초등학교+병설유치원(8월)'!BS26="",0,'초등학교+병설유치원(8월)'!BS26)</x:f>
        <x:v>11</x:v>
      </x:c>
      <x:c r="F331" s="294" t="n">
        <x:f>IF('초등학교+병설유치원(8월)'!BT26="",0,'초등학교+병설유치원(8월)'!BT26)</x:f>
        <x:v>0</x:v>
      </x:c>
      <x:c r="G331" s="294" t="n">
        <x:f>IF('초등학교+병설유치원(8월)'!BU26="",0,'초등학교+병설유치원(8월)'!BU26)</x:f>
        <x:v>0</x:v>
      </x:c>
      <x:c r="H331" s="294" t="n">
        <x:f>IF('초등학교+병설유치원(8월)'!BV26="",0,'초등학교+병설유치원(8월)'!BV26)</x:f>
        <x:v>0</x:v>
      </x:c>
      <x:c r="I331" s="294" t="n">
        <x:f>IF('초등학교+병설유치원(8월)'!BW26="",0,'초등학교+병설유치원(8월)'!BW26)</x:f>
        <x:v>0</x:v>
      </x:c>
      <x:c r="J331" s="296" t="n">
        <x:f>SUM(E331:I331)</x:f>
        <x:v>11</x:v>
      </x:c>
      <x:c r="K331" s="291" t="str">
        <x:v>8월</x:v>
      </x:c>
    </x:row>
    <x:row r="332">
      <x:c r="A332" s="291" t="str">
        <x:f>IF('초등학교+병설유치원(8월)'!A26="","",'초등학교+병설유치원(8월)'!A26)</x:f>
        <x:v>14-1</x:v>
      </x:c>
      <x:c r="B332" s="291" t="str">
        <x:v>병설유치원</x:v>
      </x:c>
      <x:c r="C332" s="291" t="str">
        <x:f>IF('초등학교+병설유치원(8월)'!B26="","",'초등학교+병설유치원(8월)'!B26)</x:f>
        <x:v>이리부천초 병설유치원</x:v>
      </x:c>
      <x:c r="D332" s="293" t="n">
        <x:v>46252</x:v>
      </x:c>
      <x:c r="E332" s="294" t="n">
        <x:f>IF('초등학교+병설유치원(8월)'!BY26="",0,'초등학교+병설유치원(8월)'!BY26)</x:f>
        <x:v>11</x:v>
      </x:c>
      <x:c r="F332" s="294" t="n">
        <x:f>IF('초등학교+병설유치원(8월)'!BZ26="",0,'초등학교+병설유치원(8월)'!BZ26)</x:f>
        <x:v>0</x:v>
      </x:c>
      <x:c r="G332" s="294" t="n">
        <x:f>IF('초등학교+병설유치원(8월)'!CA26="",0,'초등학교+병설유치원(8월)'!CA26)</x:f>
        <x:v>0</x:v>
      </x:c>
      <x:c r="H332" s="294" t="n">
        <x:f>IF('초등학교+병설유치원(8월)'!CB26="",0,'초등학교+병설유치원(8월)'!CB26)</x:f>
        <x:v>0</x:v>
      </x:c>
      <x:c r="I332" s="294" t="n">
        <x:f>IF('초등학교+병설유치원(8월)'!CC26="",0,'초등학교+병설유치원(8월)'!CC26)</x:f>
        <x:v>0</x:v>
      </x:c>
      <x:c r="J332" s="296" t="n">
        <x:f>SUM(E332:I332)</x:f>
        <x:v>11</x:v>
      </x:c>
      <x:c r="K332" s="291" t="str">
        <x:v>8월</x:v>
      </x:c>
    </x:row>
    <x:row r="333">
      <x:c r="A333" s="291" t="str">
        <x:f>IF('초등학교+병설유치원(8월)'!A26="","",'초등학교+병설유치원(8월)'!A26)</x:f>
        <x:v>14-1</x:v>
      </x:c>
      <x:c r="B333" s="291" t="str">
        <x:v>병설유치원</x:v>
      </x:c>
      <x:c r="C333" s="291" t="str">
        <x:f>IF('초등학교+병설유치원(8월)'!B26="","",'초등학교+병설유치원(8월)'!B26)</x:f>
        <x:v>이리부천초 병설유치원</x:v>
      </x:c>
      <x:c r="D333" s="293" t="n">
        <x:v>46253</x:v>
      </x:c>
      <x:c r="E333" s="294" t="n">
        <x:f>IF('초등학교+병설유치원(8월)'!CE26="",0,'초등학교+병설유치원(8월)'!CE26)</x:f>
        <x:v>12</x:v>
      </x:c>
      <x:c r="F333" s="294" t="n">
        <x:f>IF('초등학교+병설유치원(8월)'!CF26="",0,'초등학교+병설유치원(8월)'!CF26)</x:f>
        <x:v>0</x:v>
      </x:c>
      <x:c r="G333" s="294" t="n">
        <x:f>IF('초등학교+병설유치원(8월)'!CG26="",0,'초등학교+병설유치원(8월)'!CG26)</x:f>
        <x:v>0</x:v>
      </x:c>
      <x:c r="H333" s="294" t="n">
        <x:f>IF('초등학교+병설유치원(8월)'!CH26="",0,'초등학교+병설유치원(8월)'!CH26)</x:f>
        <x:v>0</x:v>
      </x:c>
      <x:c r="I333" s="294" t="n">
        <x:f>IF('초등학교+병설유치원(8월)'!CI26="",0,'초등학교+병설유치원(8월)'!CI26)</x:f>
        <x:v>0</x:v>
      </x:c>
      <x:c r="J333" s="296" t="n">
        <x:f>SUM(E333:I333)</x:f>
        <x:v>12</x:v>
      </x:c>
      <x:c r="K333" s="291" t="str">
        <x:v>8월</x:v>
      </x:c>
    </x:row>
    <x:row r="334">
      <x:c r="A334" s="291" t="str">
        <x:f>IF('초등학교+병설유치원(8월)'!A26="","",'초등학교+병설유치원(8월)'!A26)</x:f>
        <x:v>14-1</x:v>
      </x:c>
      <x:c r="B334" s="291" t="str">
        <x:v>병설유치원</x:v>
      </x:c>
      <x:c r="C334" s="291" t="str">
        <x:f>IF('초등학교+병설유치원(8월)'!B26="","",'초등학교+병설유치원(8월)'!B26)</x:f>
        <x:v>이리부천초 병설유치원</x:v>
      </x:c>
      <x:c r="D334" s="293" t="n">
        <x:v>46254</x:v>
      </x:c>
      <x:c r="E334" s="294" t="n">
        <x:f>IF('초등학교+병설유치원(8월)'!CK26="",0,'초등학교+병설유치원(8월)'!CK26)</x:f>
        <x:v>12</x:v>
      </x:c>
      <x:c r="F334" s="294" t="n">
        <x:f>IF('초등학교+병설유치원(8월)'!CL26="",0,'초등학교+병설유치원(8월)'!CL26)</x:f>
        <x:v>0</x:v>
      </x:c>
      <x:c r="G334" s="294" t="n">
        <x:f>IF('초등학교+병설유치원(8월)'!CM26="",0,'초등학교+병설유치원(8월)'!CM26)</x:f>
        <x:v>0</x:v>
      </x:c>
      <x:c r="H334" s="294" t="n">
        <x:f>IF('초등학교+병설유치원(8월)'!CN26="",0,'초등학교+병설유치원(8월)'!CN26)</x:f>
        <x:v>0</x:v>
      </x:c>
      <x:c r="I334" s="294" t="n">
        <x:f>IF('초등학교+병설유치원(8월)'!CO26="",0,'초등학교+병설유치원(8월)'!CO26)</x:f>
        <x:v>0</x:v>
      </x:c>
      <x:c r="J334" s="296" t="n">
        <x:f>SUM(E334:I334)</x:f>
        <x:v>12</x:v>
      </x:c>
      <x:c r="K334" s="291" t="str">
        <x:v>8월</x:v>
      </x:c>
    </x:row>
    <x:row r="335">
      <x:c r="A335" s="291" t="str">
        <x:f>IF('초등학교+병설유치원(8월)'!A26="","",'초등학교+병설유치원(8월)'!A26)</x:f>
        <x:v>14-1</x:v>
      </x:c>
      <x:c r="B335" s="291" t="str">
        <x:v>병설유치원</x:v>
      </x:c>
      <x:c r="C335" s="291" t="str">
        <x:f>IF('초등학교+병설유치원(8월)'!B26="","",'초등학교+병설유치원(8월)'!B26)</x:f>
        <x:v>이리부천초 병설유치원</x:v>
      </x:c>
      <x:c r="D335" s="293" t="n">
        <x:v>46255</x:v>
      </x:c>
      <x:c r="E335" s="294" t="n">
        <x:f>IF('초등학교+병설유치원(8월)'!CQ26="",0,'초등학교+병설유치원(8월)'!CQ26)</x:f>
        <x:v>12</x:v>
      </x:c>
      <x:c r="F335" s="294" t="n">
        <x:f>IF('초등학교+병설유치원(8월)'!CR26="",0,'초등학교+병설유치원(8월)'!CR26)</x:f>
        <x:v>0</x:v>
      </x:c>
      <x:c r="G335" s="294" t="n">
        <x:f>IF('초등학교+병설유치원(8월)'!CS26="",0,'초등학교+병설유치원(8월)'!CS26)</x:f>
        <x:v>0</x:v>
      </x:c>
      <x:c r="H335" s="294" t="n">
        <x:f>IF('초등학교+병설유치원(8월)'!CT26="",0,'초등학교+병설유치원(8월)'!CT26)</x:f>
        <x:v>0</x:v>
      </x:c>
      <x:c r="I335" s="294" t="n">
        <x:f>IF('초등학교+병설유치원(8월)'!CU26="",0,'초등학교+병설유치원(8월)'!CU26)</x:f>
        <x:v>0</x:v>
      </x:c>
      <x:c r="J335" s="296" t="n">
        <x:f>SUM(E335:I335)</x:f>
        <x:v>12</x:v>
      </x:c>
      <x:c r="K335" s="291" t="str">
        <x:v>8월</x:v>
      </x:c>
    </x:row>
    <x:row r="336">
      <x:c r="A336" s="291" t="str">
        <x:f>IF('초등학교+병설유치원(8월)'!A26="","",'초등학교+병설유치원(8월)'!A26)</x:f>
        <x:v>14-1</x:v>
      </x:c>
      <x:c r="B336" s="291" t="str">
        <x:v>병설유치원</x:v>
      </x:c>
      <x:c r="C336" s="291" t="str">
        <x:f>IF('초등학교+병설유치원(8월)'!B26="","",'초등학교+병설유치원(8월)'!B26)</x:f>
        <x:v>이리부천초 병설유치원</x:v>
      </x:c>
      <x:c r="D336" s="293" t="n">
        <x:v>46258</x:v>
      </x:c>
      <x:c r="E336" s="294" t="n">
        <x:f>IF('초등학교+병설유치원(8월)'!CW26="",0,'초등학교+병설유치원(8월)'!CW26)</x:f>
        <x:v>12</x:v>
      </x:c>
      <x:c r="F336" s="294" t="n">
        <x:f>IF('초등학교+병설유치원(8월)'!CX26="",0,'초등학교+병설유치원(8월)'!CX26)</x:f>
        <x:v>0</x:v>
      </x:c>
      <x:c r="G336" s="294" t="n">
        <x:f>IF('초등학교+병설유치원(8월)'!CY26="",0,'초등학교+병설유치원(8월)'!CY26)</x:f>
        <x:v>0</x:v>
      </x:c>
      <x:c r="H336" s="294" t="n">
        <x:f>IF('초등학교+병설유치원(8월)'!CZ26="",0,'초등학교+병설유치원(8월)'!CZ26)</x:f>
        <x:v>0</x:v>
      </x:c>
      <x:c r="I336" s="294" t="n">
        <x:f>IF('초등학교+병설유치원(8월)'!DA26="",0,'초등학교+병설유치원(8월)'!DA26)</x:f>
        <x:v>0</x:v>
      </x:c>
      <x:c r="J336" s="296" t="n">
        <x:f>SUM(E336:I336)</x:f>
        <x:v>12</x:v>
      </x:c>
      <x:c r="K336" s="291" t="str">
        <x:v>8월</x:v>
      </x:c>
    </x:row>
    <x:row r="337">
      <x:c r="A337" s="291" t="n">
        <x:f>IF('초등학교+병설유치원(8월)'!A27="","",'초등학교+병설유치원(8월)'!A27)</x:f>
        <x:v>15</x:v>
      </x:c>
      <x:c r="B337" s="291" t="str">
        <x:v>초등학교</x:v>
      </x:c>
      <x:c r="C337" s="291" t="str">
        <x:f>IF('초등학교+병설유치원(8월)'!B27="","",'초등학교+병설유치원(8월)'!B27)</x:f>
        <x:v>이리북일초</x:v>
      </x:c>
      <x:c r="D337" s="293" t="n">
        <x:v>46237</x:v>
      </x:c>
      <x:c r="E337" s="294" t="n">
        <x:f>IF('초등학교+병설유치원(8월)'!Q27="",0,'초등학교+병설유치원(8월)'!Q27)</x:f>
        <x:v>16</x:v>
      </x:c>
      <x:c r="F337" s="294" t="n">
        <x:f>IF('초등학교+병설유치원(8월)'!R27="",0,'초등학교+병설유치원(8월)'!R27)</x:f>
        <x:v>0</x:v>
      </x:c>
      <x:c r="G337" s="294" t="n">
        <x:f>IF('초등학교+병설유치원(8월)'!S27="",0,'초등학교+병설유치원(8월)'!S27)</x:f>
        <x:v>0</x:v>
      </x:c>
      <x:c r="H337" s="294" t="n">
        <x:f>IF('초등학교+병설유치원(8월)'!T27="",0,'초등학교+병설유치원(8월)'!T27)</x:f>
        <x:v>0</x:v>
      </x:c>
      <x:c r="I337" s="294" t="n">
        <x:f>IF('초등학교+병설유치원(8월)'!U27="",0,'초등학교+병설유치원(8월)'!U27)</x:f>
        <x:v>0</x:v>
      </x:c>
      <x:c r="J337" s="296" t="n">
        <x:f>SUM(E337:I337)</x:f>
        <x:v>16</x:v>
      </x:c>
      <x:c r="K337" s="291" t="str">
        <x:v>8월</x:v>
      </x:c>
    </x:row>
    <x:row r="338">
      <x:c r="A338" s="291" t="n">
        <x:f>IF('초등학교+병설유치원(8월)'!A27="","",'초등학교+병설유치원(8월)'!A27)</x:f>
        <x:v>15</x:v>
      </x:c>
      <x:c r="B338" s="291" t="str">
        <x:v>초등학교</x:v>
      </x:c>
      <x:c r="C338" s="291" t="str">
        <x:f>IF('초등학교+병설유치원(8월)'!B27="","",'초등학교+병설유치원(8월)'!B27)</x:f>
        <x:v>이리북일초</x:v>
      </x:c>
      <x:c r="D338" s="293" t="n">
        <x:v>46238</x:v>
      </x:c>
      <x:c r="E338" s="294" t="n">
        <x:f>IF('초등학교+병설유치원(8월)'!W27="",0,'초등학교+병설유치원(8월)'!W27)</x:f>
        <x:v>16</x:v>
      </x:c>
      <x:c r="F338" s="294" t="n">
        <x:f>IF('초등학교+병설유치원(8월)'!X27="",0,'초등학교+병설유치원(8월)'!X27)</x:f>
        <x:v>0</x:v>
      </x:c>
      <x:c r="G338" s="294" t="n">
        <x:f>IF('초등학교+병설유치원(8월)'!Y27="",0,'초등학교+병설유치원(8월)'!Y27)</x:f>
        <x:v>0</x:v>
      </x:c>
      <x:c r="H338" s="294" t="n">
        <x:f>IF('초등학교+병설유치원(8월)'!Z27="",0,'초등학교+병설유치원(8월)'!Z27)</x:f>
        <x:v>0</x:v>
      </x:c>
      <x:c r="I338" s="294" t="n">
        <x:f>IF('초등학교+병설유치원(8월)'!AA27="",0,'초등학교+병설유치원(8월)'!AA27)</x:f>
        <x:v>0</x:v>
      </x:c>
      <x:c r="J338" s="296" t="n">
        <x:f>SUM(E338:I338)</x:f>
        <x:v>16</x:v>
      </x:c>
      <x:c r="K338" s="291" t="str">
        <x:v>8월</x:v>
      </x:c>
    </x:row>
    <x:row r="339">
      <x:c r="A339" s="291" t="n">
        <x:f>IF('초등학교+병설유치원(8월)'!A27="","",'초등학교+병설유치원(8월)'!A27)</x:f>
        <x:v>15</x:v>
      </x:c>
      <x:c r="B339" s="291" t="str">
        <x:v>초등학교</x:v>
      </x:c>
      <x:c r="C339" s="291" t="str">
        <x:f>IF('초등학교+병설유치원(8월)'!B27="","",'초등학교+병설유치원(8월)'!B27)</x:f>
        <x:v>이리북일초</x:v>
      </x:c>
      <x:c r="D339" s="293" t="n">
        <x:v>46239</x:v>
      </x:c>
      <x:c r="E339" s="294" t="n">
        <x:f>IF('초등학교+병설유치원(8월)'!AC27="",0,'초등학교+병설유치원(8월)'!AC27)</x:f>
        <x:v>16</x:v>
      </x:c>
      <x:c r="F339" s="294" t="n">
        <x:f>IF('초등학교+병설유치원(8월)'!AD27="",0,'초등학교+병설유치원(8월)'!AD27)</x:f>
        <x:v>0</x:v>
      </x:c>
      <x:c r="G339" s="294" t="n">
        <x:f>IF('초등학교+병설유치원(8월)'!AE27="",0,'초등학교+병설유치원(8월)'!AE27)</x:f>
        <x:v>0</x:v>
      </x:c>
      <x:c r="H339" s="294" t="n">
        <x:f>IF('초등학교+병설유치원(8월)'!AF27="",0,'초등학교+병설유치원(8월)'!AF27)</x:f>
        <x:v>0</x:v>
      </x:c>
      <x:c r="I339" s="294" t="n">
        <x:f>IF('초등학교+병설유치원(8월)'!AG27="",0,'초등학교+병설유치원(8월)'!AG27)</x:f>
        <x:v>0</x:v>
      </x:c>
      <x:c r="J339" s="296" t="n">
        <x:f>SUM(E339:I339)</x:f>
        <x:v>16</x:v>
      </x:c>
      <x:c r="K339" s="291" t="str">
        <x:v>8월</x:v>
      </x:c>
    </x:row>
    <x:row r="340">
      <x:c r="A340" s="291" t="n">
        <x:f>IF('초등학교+병설유치원(8월)'!A27="","",'초등학교+병설유치원(8월)'!A27)</x:f>
        <x:v>15</x:v>
      </x:c>
      <x:c r="B340" s="291" t="str">
        <x:v>초등학교</x:v>
      </x:c>
      <x:c r="C340" s="291" t="str">
        <x:f>IF('초등학교+병설유치원(8월)'!B27="","",'초등학교+병설유치원(8월)'!B27)</x:f>
        <x:v>이리북일초</x:v>
      </x:c>
      <x:c r="D340" s="293" t="n">
        <x:v>46240</x:v>
      </x:c>
      <x:c r="E340" s="294" t="n">
        <x:f>IF('초등학교+병설유치원(8월)'!AI27="",0,'초등학교+병설유치원(8월)'!AI27)</x:f>
        <x:v>16</x:v>
      </x:c>
      <x:c r="F340" s="294" t="n">
        <x:f>IF('초등학교+병설유치원(8월)'!AJ27="",0,'초등학교+병설유치원(8월)'!AJ27)</x:f>
        <x:v>0</x:v>
      </x:c>
      <x:c r="G340" s="294" t="n">
        <x:f>IF('초등학교+병설유치원(8월)'!AK27="",0,'초등학교+병설유치원(8월)'!AK27)</x:f>
        <x:v>0</x:v>
      </x:c>
      <x:c r="H340" s="294" t="n">
        <x:f>IF('초등학교+병설유치원(8월)'!AL27="",0,'초등학교+병설유치원(8월)'!AL27)</x:f>
        <x:v>0</x:v>
      </x:c>
      <x:c r="I340" s="294" t="n">
        <x:f>IF('초등학교+병설유치원(8월)'!AM27="",0,'초등학교+병설유치원(8월)'!AM27)</x:f>
        <x:v>0</x:v>
      </x:c>
      <x:c r="J340" s="296" t="n">
        <x:f>SUM(E340:I340)</x:f>
        <x:v>16</x:v>
      </x:c>
      <x:c r="K340" s="291" t="str">
        <x:v>8월</x:v>
      </x:c>
    </x:row>
    <x:row r="341">
      <x:c r="A341" s="291" t="n">
        <x:f>IF('초등학교+병설유치원(8월)'!A27="","",'초등학교+병설유치원(8월)'!A27)</x:f>
        <x:v>15</x:v>
      </x:c>
      <x:c r="B341" s="291" t="str">
        <x:v>초등학교</x:v>
      </x:c>
      <x:c r="C341" s="291" t="str">
        <x:f>IF('초등학교+병설유치원(8월)'!B27="","",'초등학교+병설유치원(8월)'!B27)</x:f>
        <x:v>이리북일초</x:v>
      </x:c>
      <x:c r="D341" s="293" t="n">
        <x:v>46241</x:v>
      </x:c>
      <x:c r="E341" s="294" t="n">
        <x:f>IF('초등학교+병설유치원(8월)'!AO27="",0,'초등학교+병설유치원(8월)'!AO27)</x:f>
        <x:v>16</x:v>
      </x:c>
      <x:c r="F341" s="294" t="n">
        <x:f>IF('초등학교+병설유치원(8월)'!AP27="",0,'초등학교+병설유치원(8월)'!AP27)</x:f>
        <x:v>0</x:v>
      </x:c>
      <x:c r="G341" s="294" t="n">
        <x:f>IF('초등학교+병설유치원(8월)'!AQ27="",0,'초등학교+병설유치원(8월)'!AQ27)</x:f>
        <x:v>0</x:v>
      </x:c>
      <x:c r="H341" s="294" t="n">
        <x:f>IF('초등학교+병설유치원(8월)'!AR27="",0,'초등학교+병설유치원(8월)'!AR27)</x:f>
        <x:v>0</x:v>
      </x:c>
      <x:c r="I341" s="294" t="n">
        <x:f>IF('초등학교+병설유치원(8월)'!AS27="",0,'초등학교+병설유치원(8월)'!AS27)</x:f>
        <x:v>0</x:v>
      </x:c>
      <x:c r="J341" s="296" t="n">
        <x:f>SUM(E341:I341)</x:f>
        <x:v>16</x:v>
      </x:c>
      <x:c r="K341" s="291" t="str">
        <x:v>8월</x:v>
      </x:c>
    </x:row>
    <x:row r="342">
      <x:c r="A342" s="291" t="n">
        <x:f>IF('초등학교+병설유치원(8월)'!A27="","",'초등학교+병설유치원(8월)'!A27)</x:f>
        <x:v>15</x:v>
      </x:c>
      <x:c r="B342" s="291" t="str">
        <x:v>초등학교</x:v>
      </x:c>
      <x:c r="C342" s="291" t="str">
        <x:f>IF('초등학교+병설유치원(8월)'!B27="","",'초등학교+병설유치원(8월)'!B27)</x:f>
        <x:v>이리북일초</x:v>
      </x:c>
      <x:c r="D342" s="293" t="n">
        <x:v>46244</x:v>
      </x:c>
      <x:c r="E342" s="294" t="n">
        <x:f>IF('초등학교+병설유치원(8월)'!AU27="",0,'초등학교+병설유치원(8월)'!AU27)</x:f>
        <x:v>16</x:v>
      </x:c>
      <x:c r="F342" s="294" t="n">
        <x:f>IF('초등학교+병설유치원(8월)'!AV27="",0,'초등학교+병설유치원(8월)'!AV27)</x:f>
        <x:v>0</x:v>
      </x:c>
      <x:c r="G342" s="294" t="n">
        <x:f>IF('초등학교+병설유치원(8월)'!AW27="",0,'초등학교+병설유치원(8월)'!AW27)</x:f>
        <x:v>0</x:v>
      </x:c>
      <x:c r="H342" s="294" t="n">
        <x:f>IF('초등학교+병설유치원(8월)'!AX27="",0,'초등학교+병설유치원(8월)'!AX27)</x:f>
        <x:v>0</x:v>
      </x:c>
      <x:c r="I342" s="294" t="n">
        <x:f>IF('초등학교+병설유치원(8월)'!AY27="",0,'초등학교+병설유치원(8월)'!AY27)</x:f>
        <x:v>0</x:v>
      </x:c>
      <x:c r="J342" s="296" t="n">
        <x:f>SUM(E342:I342)</x:f>
        <x:v>16</x:v>
      </x:c>
      <x:c r="K342" s="291" t="str">
        <x:v>8월</x:v>
      </x:c>
    </x:row>
    <x:row r="343">
      <x:c r="A343" s="291" t="n">
        <x:f>IF('초등학교+병설유치원(8월)'!A27="","",'초등학교+병설유치원(8월)'!A27)</x:f>
        <x:v>15</x:v>
      </x:c>
      <x:c r="B343" s="291" t="str">
        <x:v>초등학교</x:v>
      </x:c>
      <x:c r="C343" s="291" t="str">
        <x:f>IF('초등학교+병설유치원(8월)'!B27="","",'초등학교+병설유치원(8월)'!B27)</x:f>
        <x:v>이리북일초</x:v>
      </x:c>
      <x:c r="D343" s="293" t="n">
        <x:v>46245</x:v>
      </x:c>
      <x:c r="E343" s="294" t="n">
        <x:f>IF('초등학교+병설유치원(8월)'!BA27="",0,'초등학교+병설유치원(8월)'!BA27)</x:f>
        <x:v>16</x:v>
      </x:c>
      <x:c r="F343" s="294" t="n">
        <x:f>IF('초등학교+병설유치원(8월)'!BB27="",0,'초등학교+병설유치원(8월)'!BB27)</x:f>
        <x:v>0</x:v>
      </x:c>
      <x:c r="G343" s="294" t="n">
        <x:f>IF('초등학교+병설유치원(8월)'!BC27="",0,'초등학교+병설유치원(8월)'!BC27)</x:f>
        <x:v>0</x:v>
      </x:c>
      <x:c r="H343" s="294" t="n">
        <x:f>IF('초등학교+병설유치원(8월)'!BD27="",0,'초등학교+병설유치원(8월)'!BD27)</x:f>
        <x:v>0</x:v>
      </x:c>
      <x:c r="I343" s="294" t="n">
        <x:f>IF('초등학교+병설유치원(8월)'!BE27="",0,'초등학교+병설유치원(8월)'!BE27)</x:f>
        <x:v>0</x:v>
      </x:c>
      <x:c r="J343" s="296" t="n">
        <x:f>SUM(E343:I343)</x:f>
        <x:v>16</x:v>
      </x:c>
      <x:c r="K343" s="291" t="str">
        <x:v>8월</x:v>
      </x:c>
    </x:row>
    <x:row r="344">
      <x:c r="A344" s="291" t="n">
        <x:f>IF('초등학교+병설유치원(8월)'!A27="","",'초등학교+병설유치원(8월)'!A27)</x:f>
        <x:v>15</x:v>
      </x:c>
      <x:c r="B344" s="291" t="str">
        <x:v>초등학교</x:v>
      </x:c>
      <x:c r="C344" s="291" t="str">
        <x:f>IF('초등학교+병설유치원(8월)'!B27="","",'초등학교+병설유치원(8월)'!B27)</x:f>
        <x:v>이리북일초</x:v>
      </x:c>
      <x:c r="D344" s="293" t="n">
        <x:v>46246</x:v>
      </x:c>
      <x:c r="E344" s="294" t="n">
        <x:f>IF('초등학교+병설유치원(8월)'!BG27="",0,'초등학교+병설유치원(8월)'!BG27)</x:f>
        <x:v>16</x:v>
      </x:c>
      <x:c r="F344" s="294" t="n">
        <x:f>IF('초등학교+병설유치원(8월)'!BH27="",0,'초등학교+병설유치원(8월)'!BH27)</x:f>
        <x:v>0</x:v>
      </x:c>
      <x:c r="G344" s="294" t="n">
        <x:f>IF('초등학교+병설유치원(8월)'!BI27="",0,'초등학교+병설유치원(8월)'!BI27)</x:f>
        <x:v>0</x:v>
      </x:c>
      <x:c r="H344" s="294" t="n">
        <x:f>IF('초등학교+병설유치원(8월)'!BJ27="",0,'초등학교+병설유치원(8월)'!BJ27)</x:f>
        <x:v>0</x:v>
      </x:c>
      <x:c r="I344" s="294" t="n">
        <x:f>IF('초등학교+병설유치원(8월)'!BK27="",0,'초등학교+병설유치원(8월)'!BK27)</x:f>
        <x:v>0</x:v>
      </x:c>
      <x:c r="J344" s="296" t="n">
        <x:f>SUM(E344:I344)</x:f>
        <x:v>16</x:v>
      </x:c>
      <x:c r="K344" s="291" t="str">
        <x:v>8월</x:v>
      </x:c>
    </x:row>
    <x:row r="345">
      <x:c r="A345" s="291" t="n">
        <x:f>IF('초등학교+병설유치원(8월)'!A27="","",'초등학교+병설유치원(8월)'!A27)</x:f>
        <x:v>15</x:v>
      </x:c>
      <x:c r="B345" s="291" t="str">
        <x:v>초등학교</x:v>
      </x:c>
      <x:c r="C345" s="291" t="str">
        <x:f>IF('초등학교+병설유치원(8월)'!B27="","",'초등학교+병설유치원(8월)'!B27)</x:f>
        <x:v>이리북일초</x:v>
      </x:c>
      <x:c r="D345" s="293" t="n">
        <x:v>46247</x:v>
      </x:c>
      <x:c r="E345" s="294" t="n">
        <x:f>IF('초등학교+병설유치원(8월)'!BM27="",0,'초등학교+병설유치원(8월)'!BM27)</x:f>
        <x:v>16</x:v>
      </x:c>
      <x:c r="F345" s="294" t="n">
        <x:f>IF('초등학교+병설유치원(8월)'!BN27="",0,'초등학교+병설유치원(8월)'!BN27)</x:f>
        <x:v>0</x:v>
      </x:c>
      <x:c r="G345" s="294" t="n">
        <x:f>IF('초등학교+병설유치원(8월)'!BO27="",0,'초등학교+병설유치원(8월)'!BO27)</x:f>
        <x:v>0</x:v>
      </x:c>
      <x:c r="H345" s="294" t="n">
        <x:f>IF('초등학교+병설유치원(8월)'!BP27="",0,'초등학교+병설유치원(8월)'!BP27)</x:f>
        <x:v>0</x:v>
      </x:c>
      <x:c r="I345" s="294" t="n">
        <x:f>IF('초등학교+병설유치원(8월)'!BQ27="",0,'초등학교+병설유치원(8월)'!BQ27)</x:f>
        <x:v>0</x:v>
      </x:c>
      <x:c r="J345" s="296" t="n">
        <x:f>SUM(E345:I345)</x:f>
        <x:v>16</x:v>
      </x:c>
      <x:c r="K345" s="291" t="str">
        <x:v>8월</x:v>
      </x:c>
    </x:row>
    <x:row r="346">
      <x:c r="A346" s="291" t="n">
        <x:f>IF('초등학교+병설유치원(8월)'!A27="","",'초등학교+병설유치원(8월)'!A27)</x:f>
        <x:v>15</x:v>
      </x:c>
      <x:c r="B346" s="291" t="str">
        <x:v>초등학교</x:v>
      </x:c>
      <x:c r="C346" s="291" t="str">
        <x:f>IF('초등학교+병설유치원(8월)'!B27="","",'초등학교+병설유치원(8월)'!B27)</x:f>
        <x:v>이리북일초</x:v>
      </x:c>
      <x:c r="D346" s="293" t="n">
        <x:v>46248</x:v>
      </x:c>
      <x:c r="E346" s="294" t="n">
        <x:f>IF('초등학교+병설유치원(8월)'!BS27="",0,'초등학교+병설유치원(8월)'!BS27)</x:f>
        <x:v>16</x:v>
      </x:c>
      <x:c r="F346" s="294" t="n">
        <x:f>IF('초등학교+병설유치원(8월)'!BT27="",0,'초등학교+병설유치원(8월)'!BT27)</x:f>
        <x:v>0</x:v>
      </x:c>
      <x:c r="G346" s="294" t="n">
        <x:f>IF('초등학교+병설유치원(8월)'!BU27="",0,'초등학교+병설유치원(8월)'!BU27)</x:f>
        <x:v>0</x:v>
      </x:c>
      <x:c r="H346" s="294" t="n">
        <x:f>IF('초등학교+병설유치원(8월)'!BV27="",0,'초등학교+병설유치원(8월)'!BV27)</x:f>
        <x:v>0</x:v>
      </x:c>
      <x:c r="I346" s="294" t="n">
        <x:f>IF('초등학교+병설유치원(8월)'!BW27="",0,'초등학교+병설유치원(8월)'!BW27)</x:f>
        <x:v>0</x:v>
      </x:c>
      <x:c r="J346" s="296" t="n">
        <x:f>SUM(E346:I346)</x:f>
        <x:v>16</x:v>
      </x:c>
      <x:c r="K346" s="291" t="str">
        <x:v>8월</x:v>
      </x:c>
    </x:row>
    <x:row r="347">
      <x:c r="A347" s="291" t="n">
        <x:f>IF('초등학교+병설유치원(8월)'!A27="","",'초등학교+병설유치원(8월)'!A27)</x:f>
        <x:v>15</x:v>
      </x:c>
      <x:c r="B347" s="291" t="str">
        <x:v>초등학교</x:v>
      </x:c>
      <x:c r="C347" s="291" t="str">
        <x:f>IF('초등학교+병설유치원(8월)'!B27="","",'초등학교+병설유치원(8월)'!B27)</x:f>
        <x:v>이리북일초</x:v>
      </x:c>
      <x:c r="D347" s="293" t="n">
        <x:v>46252</x:v>
      </x:c>
      <x:c r="E347" s="294" t="n">
        <x:f>IF('초등학교+병설유치원(8월)'!BY27="",0,'초등학교+병설유치원(8월)'!BY27)</x:f>
        <x:v>16</x:v>
      </x:c>
      <x:c r="F347" s="294" t="n">
        <x:f>IF('초등학교+병설유치원(8월)'!BZ27="",0,'초등학교+병설유치원(8월)'!BZ27)</x:f>
        <x:v>0</x:v>
      </x:c>
      <x:c r="G347" s="294" t="n">
        <x:f>IF('초등학교+병설유치원(8월)'!CA27="",0,'초등학교+병설유치원(8월)'!CA27)</x:f>
        <x:v>0</x:v>
      </x:c>
      <x:c r="H347" s="294" t="n">
        <x:f>IF('초등학교+병설유치원(8월)'!CB27="",0,'초등학교+병설유치원(8월)'!CB27)</x:f>
        <x:v>0</x:v>
      </x:c>
      <x:c r="I347" s="294" t="n">
        <x:f>IF('초등학교+병설유치원(8월)'!CC27="",0,'초등학교+병설유치원(8월)'!CC27)</x:f>
        <x:v>0</x:v>
      </x:c>
      <x:c r="J347" s="296" t="n">
        <x:f>SUM(E347:I347)</x:f>
        <x:v>16</x:v>
      </x:c>
      <x:c r="K347" s="291" t="str">
        <x:v>8월</x:v>
      </x:c>
    </x:row>
    <x:row r="348">
      <x:c r="A348" s="291" t="n">
        <x:f>IF('초등학교+병설유치원(8월)'!A27="","",'초등학교+병설유치원(8월)'!A27)</x:f>
        <x:v>15</x:v>
      </x:c>
      <x:c r="B348" s="291" t="str">
        <x:v>초등학교</x:v>
      </x:c>
      <x:c r="C348" s="291" t="str">
        <x:f>IF('초등학교+병설유치원(8월)'!B27="","",'초등학교+병설유치원(8월)'!B27)</x:f>
        <x:v>이리북일초</x:v>
      </x:c>
      <x:c r="D348" s="293" t="n">
        <x:v>46253</x:v>
      </x:c>
      <x:c r="E348" s="294" t="n">
        <x:f>IF('초등학교+병설유치원(8월)'!CE27="",0,'초등학교+병설유치원(8월)'!CE27)</x:f>
        <x:v>16</x:v>
      </x:c>
      <x:c r="F348" s="294" t="n">
        <x:f>IF('초등학교+병설유치원(8월)'!CF27="",0,'초등학교+병설유치원(8월)'!CF27)</x:f>
        <x:v>0</x:v>
      </x:c>
      <x:c r="G348" s="294" t="n">
        <x:f>IF('초등학교+병설유치원(8월)'!CG27="",0,'초등학교+병설유치원(8월)'!CG27)</x:f>
        <x:v>0</x:v>
      </x:c>
      <x:c r="H348" s="294" t="n">
        <x:f>IF('초등학교+병설유치원(8월)'!CH27="",0,'초등학교+병설유치원(8월)'!CH27)</x:f>
        <x:v>0</x:v>
      </x:c>
      <x:c r="I348" s="294" t="n">
        <x:f>IF('초등학교+병설유치원(8월)'!CI27="",0,'초등학교+병설유치원(8월)'!CI27)</x:f>
        <x:v>0</x:v>
      </x:c>
      <x:c r="J348" s="296" t="n">
        <x:f>SUM(E348:I348)</x:f>
        <x:v>16</x:v>
      </x:c>
      <x:c r="K348" s="291" t="str">
        <x:v>8월</x:v>
      </x:c>
    </x:row>
    <x:row r="349">
      <x:c r="A349" s="291" t="n">
        <x:f>IF('초등학교+병설유치원(8월)'!A28="","",'초등학교+병설유치원(8월)'!A28)</x:f>
        <x:v>16</x:v>
      </x:c>
      <x:c r="B349" s="291" t="str">
        <x:v>초등학교</x:v>
      </x:c>
      <x:c r="C349" s="291" t="str">
        <x:f>IF('초등학교+병설유치원(8월)'!B28="","",'초등학교+병설유치원(8월)'!B28)</x:f>
        <x:v>이리북초</x:v>
      </x:c>
      <x:c r="D349" s="293" t="n">
        <x:v>46237</x:v>
      </x:c>
      <x:c r="E349" s="294" t="n">
        <x:f>IF('초등학교+병설유치원(8월)'!Q28="",0,'초등학교+병설유치원(8월)'!Q28)</x:f>
        <x:v>17</x:v>
      </x:c>
      <x:c r="F349" s="294" t="n">
        <x:f>IF('초등학교+병설유치원(8월)'!R28="",0,'초등학교+병설유치원(8월)'!R28)</x:f>
        <x:v>0</x:v>
      </x:c>
      <x:c r="G349" s="294" t="n">
        <x:f>IF('초등학교+병설유치원(8월)'!S28="",0,'초등학교+병설유치원(8월)'!S28)</x:f>
        <x:v>0</x:v>
      </x:c>
      <x:c r="H349" s="294" t="n">
        <x:f>IF('초등학교+병설유치원(8월)'!T28="",0,'초등학교+병설유치원(8월)'!T28)</x:f>
        <x:v>0</x:v>
      </x:c>
      <x:c r="I349" s="294" t="n">
        <x:f>IF('초등학교+병설유치원(8월)'!U28="",0,'초등학교+병설유치원(8월)'!U28)</x:f>
        <x:v>0</x:v>
      </x:c>
      <x:c r="J349" s="296" t="n">
        <x:f>SUM(E349:I349)</x:f>
        <x:v>17</x:v>
      </x:c>
      <x:c r="K349" s="291" t="str">
        <x:v>8월</x:v>
      </x:c>
    </x:row>
    <x:row r="350">
      <x:c r="A350" s="291" t="n">
        <x:f>IF('초등학교+병설유치원(8월)'!A28="","",'초등학교+병설유치원(8월)'!A28)</x:f>
        <x:v>16</x:v>
      </x:c>
      <x:c r="B350" s="291" t="str">
        <x:v>초등학교</x:v>
      </x:c>
      <x:c r="C350" s="291" t="str">
        <x:f>IF('초등학교+병설유치원(8월)'!B28="","",'초등학교+병설유치원(8월)'!B28)</x:f>
        <x:v>이리북초</x:v>
      </x:c>
      <x:c r="D350" s="293" t="n">
        <x:v>46238</x:v>
      </x:c>
      <x:c r="E350" s="294" t="n">
        <x:f>IF('초등학교+병설유치원(8월)'!W28="",0,'초등학교+병설유치원(8월)'!W28)</x:f>
        <x:v>17</x:v>
      </x:c>
      <x:c r="F350" s="294" t="n">
        <x:f>IF('초등학교+병설유치원(8월)'!X28="",0,'초등학교+병설유치원(8월)'!X28)</x:f>
        <x:v>0</x:v>
      </x:c>
      <x:c r="G350" s="294" t="n">
        <x:f>IF('초등학교+병설유치원(8월)'!Y28="",0,'초등학교+병설유치원(8월)'!Y28)</x:f>
        <x:v>0</x:v>
      </x:c>
      <x:c r="H350" s="294" t="n">
        <x:f>IF('초등학교+병설유치원(8월)'!Z28="",0,'초등학교+병설유치원(8월)'!Z28)</x:f>
        <x:v>0</x:v>
      </x:c>
      <x:c r="I350" s="294" t="n">
        <x:f>IF('초등학교+병설유치원(8월)'!AA28="",0,'초등학교+병설유치원(8월)'!AA28)</x:f>
        <x:v>0</x:v>
      </x:c>
      <x:c r="J350" s="296" t="n">
        <x:f>SUM(E350:I350)</x:f>
        <x:v>17</x:v>
      </x:c>
      <x:c r="K350" s="291" t="str">
        <x:v>8월</x:v>
      </x:c>
    </x:row>
    <x:row r="351">
      <x:c r="A351" s="291" t="n">
        <x:f>IF('초등학교+병설유치원(8월)'!A28="","",'초등학교+병설유치원(8월)'!A28)</x:f>
        <x:v>16</x:v>
      </x:c>
      <x:c r="B351" s="291" t="str">
        <x:v>초등학교</x:v>
      </x:c>
      <x:c r="C351" s="291" t="str">
        <x:f>IF('초등학교+병설유치원(8월)'!B28="","",'초등학교+병설유치원(8월)'!B28)</x:f>
        <x:v>이리북초</x:v>
      </x:c>
      <x:c r="D351" s="293" t="n">
        <x:v>46239</x:v>
      </x:c>
      <x:c r="E351" s="294" t="n">
        <x:f>IF('초등학교+병설유치원(8월)'!AC28="",0,'초등학교+병설유치원(8월)'!AC28)</x:f>
        <x:v>17</x:v>
      </x:c>
      <x:c r="F351" s="294" t="n">
        <x:f>IF('초등학교+병설유치원(8월)'!AD28="",0,'초등학교+병설유치원(8월)'!AD28)</x:f>
        <x:v>0</x:v>
      </x:c>
      <x:c r="G351" s="294" t="n">
        <x:f>IF('초등학교+병설유치원(8월)'!AE28="",0,'초등학교+병설유치원(8월)'!AE28)</x:f>
        <x:v>0</x:v>
      </x:c>
      <x:c r="H351" s="294" t="n">
        <x:f>IF('초등학교+병설유치원(8월)'!AF28="",0,'초등학교+병설유치원(8월)'!AF28)</x:f>
        <x:v>0</x:v>
      </x:c>
      <x:c r="I351" s="294" t="n">
        <x:f>IF('초등학교+병설유치원(8월)'!AG28="",0,'초등학교+병설유치원(8월)'!AG28)</x:f>
        <x:v>0</x:v>
      </x:c>
      <x:c r="J351" s="296" t="n">
        <x:f>SUM(E351:I351)</x:f>
        <x:v>17</x:v>
      </x:c>
      <x:c r="K351" s="291" t="str">
        <x:v>8월</x:v>
      </x:c>
    </x:row>
    <x:row r="352">
      <x:c r="A352" s="291" t="n">
        <x:f>IF('초등학교+병설유치원(8월)'!A28="","",'초등학교+병설유치원(8월)'!A28)</x:f>
        <x:v>16</x:v>
      </x:c>
      <x:c r="B352" s="291" t="str">
        <x:v>초등학교</x:v>
      </x:c>
      <x:c r="C352" s="291" t="str">
        <x:f>IF('초등학교+병설유치원(8월)'!B28="","",'초등학교+병설유치원(8월)'!B28)</x:f>
        <x:v>이리북초</x:v>
      </x:c>
      <x:c r="D352" s="293" t="n">
        <x:v>46240</x:v>
      </x:c>
      <x:c r="E352" s="294" t="n">
        <x:f>IF('초등학교+병설유치원(8월)'!AI28="",0,'초등학교+병설유치원(8월)'!AI28)</x:f>
        <x:v>17</x:v>
      </x:c>
      <x:c r="F352" s="294" t="n">
        <x:f>IF('초등학교+병설유치원(8월)'!AJ28="",0,'초등학교+병설유치원(8월)'!AJ28)</x:f>
        <x:v>0</x:v>
      </x:c>
      <x:c r="G352" s="294" t="n">
        <x:f>IF('초등학교+병설유치원(8월)'!AK28="",0,'초등학교+병설유치원(8월)'!AK28)</x:f>
        <x:v>0</x:v>
      </x:c>
      <x:c r="H352" s="294" t="n">
        <x:f>IF('초등학교+병설유치원(8월)'!AL28="",0,'초등학교+병설유치원(8월)'!AL28)</x:f>
        <x:v>0</x:v>
      </x:c>
      <x:c r="I352" s="294" t="n">
        <x:f>IF('초등학교+병설유치원(8월)'!AM28="",0,'초등학교+병설유치원(8월)'!AM28)</x:f>
        <x:v>0</x:v>
      </x:c>
      <x:c r="J352" s="296" t="n">
        <x:f>SUM(E352:I352)</x:f>
        <x:v>17</x:v>
      </x:c>
      <x:c r="K352" s="291" t="str">
        <x:v>8월</x:v>
      </x:c>
    </x:row>
    <x:row r="353">
      <x:c r="A353" s="291" t="n">
        <x:f>IF('초등학교+병설유치원(8월)'!A28="","",'초등학교+병설유치원(8월)'!A28)</x:f>
        <x:v>16</x:v>
      </x:c>
      <x:c r="B353" s="291" t="str">
        <x:v>초등학교</x:v>
      </x:c>
      <x:c r="C353" s="291" t="str">
        <x:f>IF('초등학교+병설유치원(8월)'!B28="","",'초등학교+병설유치원(8월)'!B28)</x:f>
        <x:v>이리북초</x:v>
      </x:c>
      <x:c r="D353" s="293" t="n">
        <x:v>46241</x:v>
      </x:c>
      <x:c r="E353" s="294" t="n">
        <x:f>IF('초등학교+병설유치원(8월)'!AO28="",0,'초등학교+병설유치원(8월)'!AO28)</x:f>
        <x:v>17</x:v>
      </x:c>
      <x:c r="F353" s="294" t="n">
        <x:f>IF('초등학교+병설유치원(8월)'!AP28="",0,'초등학교+병설유치원(8월)'!AP28)</x:f>
        <x:v>0</x:v>
      </x:c>
      <x:c r="G353" s="294" t="n">
        <x:f>IF('초등학교+병설유치원(8월)'!AQ28="",0,'초등학교+병설유치원(8월)'!AQ28)</x:f>
        <x:v>0</x:v>
      </x:c>
      <x:c r="H353" s="294" t="n">
        <x:f>IF('초등학교+병설유치원(8월)'!AR28="",0,'초등학교+병설유치원(8월)'!AR28)</x:f>
        <x:v>0</x:v>
      </x:c>
      <x:c r="I353" s="294" t="n">
        <x:f>IF('초등학교+병설유치원(8월)'!AS28="",0,'초등학교+병설유치원(8월)'!AS28)</x:f>
        <x:v>0</x:v>
      </x:c>
      <x:c r="J353" s="296" t="n">
        <x:f>SUM(E353:I353)</x:f>
        <x:v>17</x:v>
      </x:c>
      <x:c r="K353" s="291" t="str">
        <x:v>8월</x:v>
      </x:c>
    </x:row>
    <x:row r="354">
      <x:c r="A354" s="291" t="n">
        <x:f>IF('초등학교+병설유치원(8월)'!A28="","",'초등학교+병설유치원(8월)'!A28)</x:f>
        <x:v>16</x:v>
      </x:c>
      <x:c r="B354" s="291" t="str">
        <x:v>초등학교</x:v>
      </x:c>
      <x:c r="C354" s="291" t="str">
        <x:f>IF('초등학교+병설유치원(8월)'!B28="","",'초등학교+병설유치원(8월)'!B28)</x:f>
        <x:v>이리북초</x:v>
      </x:c>
      <x:c r="D354" s="293" t="n">
        <x:v>46244</x:v>
      </x:c>
      <x:c r="E354" s="294" t="n">
        <x:f>IF('초등학교+병설유치원(8월)'!AU28="",0,'초등학교+병설유치원(8월)'!AU28)</x:f>
        <x:v>17</x:v>
      </x:c>
      <x:c r="F354" s="294" t="n">
        <x:f>IF('초등학교+병설유치원(8월)'!AV28="",0,'초등학교+병설유치원(8월)'!AV28)</x:f>
        <x:v>0</x:v>
      </x:c>
      <x:c r="G354" s="294" t="n">
        <x:f>IF('초등학교+병설유치원(8월)'!AW28="",0,'초등학교+병설유치원(8월)'!AW28)</x:f>
        <x:v>0</x:v>
      </x:c>
      <x:c r="H354" s="294" t="n">
        <x:f>IF('초등학교+병설유치원(8월)'!AX28="",0,'초등학교+병설유치원(8월)'!AX28)</x:f>
        <x:v>0</x:v>
      </x:c>
      <x:c r="I354" s="294" t="n">
        <x:f>IF('초등학교+병설유치원(8월)'!AY28="",0,'초등학교+병설유치원(8월)'!AY28)</x:f>
        <x:v>0</x:v>
      </x:c>
      <x:c r="J354" s="296" t="n">
        <x:f>SUM(E354:I354)</x:f>
        <x:v>17</x:v>
      </x:c>
      <x:c r="K354" s="291" t="str">
        <x:v>8월</x:v>
      </x:c>
    </x:row>
    <x:row r="355">
      <x:c r="A355" s="291" t="n">
        <x:f>IF('초등학교+병설유치원(8월)'!A28="","",'초등학교+병설유치원(8월)'!A28)</x:f>
        <x:v>16</x:v>
      </x:c>
      <x:c r="B355" s="291" t="str">
        <x:v>초등학교</x:v>
      </x:c>
      <x:c r="C355" s="291" t="str">
        <x:f>IF('초등학교+병설유치원(8월)'!B28="","",'초등학교+병설유치원(8월)'!B28)</x:f>
        <x:v>이리북초</x:v>
      </x:c>
      <x:c r="D355" s="293" t="n">
        <x:v>46245</x:v>
      </x:c>
      <x:c r="E355" s="294" t="n">
        <x:f>IF('초등학교+병설유치원(8월)'!BA28="",0,'초등학교+병설유치원(8월)'!BA28)</x:f>
        <x:v>17</x:v>
      </x:c>
      <x:c r="F355" s="294" t="n">
        <x:f>IF('초등학교+병설유치원(8월)'!BB28="",0,'초등학교+병설유치원(8월)'!BB28)</x:f>
        <x:v>0</x:v>
      </x:c>
      <x:c r="G355" s="294" t="n">
        <x:f>IF('초등학교+병설유치원(8월)'!BC28="",0,'초등학교+병설유치원(8월)'!BC28)</x:f>
        <x:v>0</x:v>
      </x:c>
      <x:c r="H355" s="294" t="n">
        <x:f>IF('초등학교+병설유치원(8월)'!BD28="",0,'초등학교+병설유치원(8월)'!BD28)</x:f>
        <x:v>0</x:v>
      </x:c>
      <x:c r="I355" s="294" t="n">
        <x:f>IF('초등학교+병설유치원(8월)'!BE28="",0,'초등학교+병설유치원(8월)'!BE28)</x:f>
        <x:v>0</x:v>
      </x:c>
      <x:c r="J355" s="296" t="n">
        <x:f>SUM(E355:I355)</x:f>
        <x:v>17</x:v>
      </x:c>
      <x:c r="K355" s="291" t="str">
        <x:v>8월</x:v>
      </x:c>
    </x:row>
    <x:row r="356">
      <x:c r="A356" s="291" t="n">
        <x:f>IF('초등학교+병설유치원(8월)'!A28="","",'초등학교+병설유치원(8월)'!A28)</x:f>
        <x:v>16</x:v>
      </x:c>
      <x:c r="B356" s="291" t="str">
        <x:v>초등학교</x:v>
      </x:c>
      <x:c r="C356" s="291" t="str">
        <x:f>IF('초등학교+병설유치원(8월)'!B28="","",'초등학교+병설유치원(8월)'!B28)</x:f>
        <x:v>이리북초</x:v>
      </x:c>
      <x:c r="D356" s="293" t="n">
        <x:v>46246</x:v>
      </x:c>
      <x:c r="E356" s="294" t="n">
        <x:f>IF('초등학교+병설유치원(8월)'!BG28="",0,'초등학교+병설유치원(8월)'!BG28)</x:f>
        <x:v>17</x:v>
      </x:c>
      <x:c r="F356" s="294" t="n">
        <x:f>IF('초등학교+병설유치원(8월)'!BH28="",0,'초등학교+병설유치원(8월)'!BH28)</x:f>
        <x:v>0</x:v>
      </x:c>
      <x:c r="G356" s="294" t="n">
        <x:f>IF('초등학교+병설유치원(8월)'!BI28="",0,'초등학교+병설유치원(8월)'!BI28)</x:f>
        <x:v>0</x:v>
      </x:c>
      <x:c r="H356" s="294" t="n">
        <x:f>IF('초등학교+병설유치원(8월)'!BJ28="",0,'초등학교+병설유치원(8월)'!BJ28)</x:f>
        <x:v>0</x:v>
      </x:c>
      <x:c r="I356" s="294" t="n">
        <x:f>IF('초등학교+병설유치원(8월)'!BK28="",0,'초등학교+병설유치원(8월)'!BK28)</x:f>
        <x:v>0</x:v>
      </x:c>
      <x:c r="J356" s="296" t="n">
        <x:f>SUM(E356:I356)</x:f>
        <x:v>17</x:v>
      </x:c>
      <x:c r="K356" s="291" t="str">
        <x:v>8월</x:v>
      </x:c>
    </x:row>
    <x:row r="357">
      <x:c r="A357" s="291" t="str">
        <x:f>IF('초등학교+병설유치원(8월)'!A29="","",'초등학교+병설유치원(8월)'!A29)</x:f>
        <x:v>16-1</x:v>
      </x:c>
      <x:c r="B357" s="291" t="str">
        <x:v>병설유치원</x:v>
      </x:c>
      <x:c r="C357" s="291" t="str">
        <x:f>IF('초등학교+병설유치원(8월)'!B29="","",'초등학교+병설유치원(8월)'!B29)</x:f>
        <x:v>이리북초 병설유치원</x:v>
      </x:c>
      <x:c r="D357" s="293" t="n">
        <x:v>46237</x:v>
      </x:c>
      <x:c r="E357" s="294" t="n">
        <x:f>IF('초등학교+병설유치원(8월)'!Q29="",0,'초등학교+병설유치원(8월)'!Q29)</x:f>
        <x:v>3</x:v>
      </x:c>
      <x:c r="F357" s="294" t="n">
        <x:f>IF('초등학교+병설유치원(8월)'!R29="",0,'초등학교+병설유치원(8월)'!R29)</x:f>
        <x:v>0</x:v>
      </x:c>
      <x:c r="G357" s="294" t="n">
        <x:f>IF('초등학교+병설유치원(8월)'!S29="",0,'초등학교+병설유치원(8월)'!S29)</x:f>
        <x:v>0</x:v>
      </x:c>
      <x:c r="H357" s="294" t="n">
        <x:f>IF('초등학교+병설유치원(8월)'!T29="",0,'초등학교+병설유치원(8월)'!T29)</x:f>
        <x:v>0</x:v>
      </x:c>
      <x:c r="I357" s="294" t="n">
        <x:f>IF('초등학교+병설유치원(8월)'!U29="",0,'초등학교+병설유치원(8월)'!U29)</x:f>
        <x:v>0</x:v>
      </x:c>
      <x:c r="J357" s="296" t="n">
        <x:f>SUM(E357:I357)</x:f>
        <x:v>3</x:v>
      </x:c>
      <x:c r="K357" s="291" t="str">
        <x:v>8월</x:v>
      </x:c>
    </x:row>
    <x:row r="358">
      <x:c r="A358" s="291" t="str">
        <x:f>IF('초등학교+병설유치원(8월)'!A29="","",'초등학교+병설유치원(8월)'!A29)</x:f>
        <x:v>16-1</x:v>
      </x:c>
      <x:c r="B358" s="291" t="str">
        <x:v>병설유치원</x:v>
      </x:c>
      <x:c r="C358" s="291" t="str">
        <x:f>IF('초등학교+병설유치원(8월)'!B29="","",'초등학교+병설유치원(8월)'!B29)</x:f>
        <x:v>이리북초 병설유치원</x:v>
      </x:c>
      <x:c r="D358" s="293" t="n">
        <x:v>46238</x:v>
      </x:c>
      <x:c r="E358" s="294" t="n">
        <x:f>IF('초등학교+병설유치원(8월)'!W29="",0,'초등학교+병설유치원(8월)'!W29)</x:f>
        <x:v>3</x:v>
      </x:c>
      <x:c r="F358" s="294" t="n">
        <x:f>IF('초등학교+병설유치원(8월)'!X29="",0,'초등학교+병설유치원(8월)'!X29)</x:f>
        <x:v>0</x:v>
      </x:c>
      <x:c r="G358" s="294" t="n">
        <x:f>IF('초등학교+병설유치원(8월)'!Y29="",0,'초등학교+병설유치원(8월)'!Y29)</x:f>
        <x:v>0</x:v>
      </x:c>
      <x:c r="H358" s="294" t="n">
        <x:f>IF('초등학교+병설유치원(8월)'!Z29="",0,'초등학교+병설유치원(8월)'!Z29)</x:f>
        <x:v>0</x:v>
      </x:c>
      <x:c r="I358" s="294" t="n">
        <x:f>IF('초등학교+병설유치원(8월)'!AA29="",0,'초등학교+병설유치원(8월)'!AA29)</x:f>
        <x:v>0</x:v>
      </x:c>
      <x:c r="J358" s="296" t="n">
        <x:f>SUM(E358:I358)</x:f>
        <x:v>3</x:v>
      </x:c>
      <x:c r="K358" s="291" t="str">
        <x:v>8월</x:v>
      </x:c>
    </x:row>
    <x:row r="359">
      <x:c r="A359" s="291" t="str">
        <x:f>IF('초등학교+병설유치원(8월)'!A29="","",'초등학교+병설유치원(8월)'!A29)</x:f>
        <x:v>16-1</x:v>
      </x:c>
      <x:c r="B359" s="291" t="str">
        <x:v>병설유치원</x:v>
      </x:c>
      <x:c r="C359" s="291" t="str">
        <x:f>IF('초등학교+병설유치원(8월)'!B29="","",'초등학교+병설유치원(8월)'!B29)</x:f>
        <x:v>이리북초 병설유치원</x:v>
      </x:c>
      <x:c r="D359" s="293" t="n">
        <x:v>46239</x:v>
      </x:c>
      <x:c r="E359" s="294" t="n">
        <x:f>IF('초등학교+병설유치원(8월)'!AC29="",0,'초등학교+병설유치원(8월)'!AC29)</x:f>
        <x:v>3</x:v>
      </x:c>
      <x:c r="F359" s="294" t="n">
        <x:f>IF('초등학교+병설유치원(8월)'!AD29="",0,'초등학교+병설유치원(8월)'!AD29)</x:f>
        <x:v>0</x:v>
      </x:c>
      <x:c r="G359" s="294" t="n">
        <x:f>IF('초등학교+병설유치원(8월)'!AE29="",0,'초등학교+병설유치원(8월)'!AE29)</x:f>
        <x:v>0</x:v>
      </x:c>
      <x:c r="H359" s="294" t="n">
        <x:f>IF('초등학교+병설유치원(8월)'!AF29="",0,'초등학교+병설유치원(8월)'!AF29)</x:f>
        <x:v>0</x:v>
      </x:c>
      <x:c r="I359" s="294" t="n">
        <x:f>IF('초등학교+병설유치원(8월)'!AG29="",0,'초등학교+병설유치원(8월)'!AG29)</x:f>
        <x:v>0</x:v>
      </x:c>
      <x:c r="J359" s="296" t="n">
        <x:f>SUM(E359:I359)</x:f>
        <x:v>3</x:v>
      </x:c>
      <x:c r="K359" s="291" t="str">
        <x:v>8월</x:v>
      </x:c>
    </x:row>
    <x:row r="360">
      <x:c r="A360" s="291" t="str">
        <x:f>IF('초등학교+병설유치원(8월)'!A29="","",'초등학교+병설유치원(8월)'!A29)</x:f>
        <x:v>16-1</x:v>
      </x:c>
      <x:c r="B360" s="291" t="str">
        <x:v>병설유치원</x:v>
      </x:c>
      <x:c r="C360" s="291" t="str">
        <x:f>IF('초등학교+병설유치원(8월)'!B29="","",'초등학교+병설유치원(8월)'!B29)</x:f>
        <x:v>이리북초 병설유치원</x:v>
      </x:c>
      <x:c r="D360" s="293" t="n">
        <x:v>46240</x:v>
      </x:c>
      <x:c r="E360" s="294" t="n">
        <x:f>IF('초등학교+병설유치원(8월)'!AI29="",0,'초등학교+병설유치원(8월)'!AI29)</x:f>
        <x:v>3</x:v>
      </x:c>
      <x:c r="F360" s="294" t="n">
        <x:f>IF('초등학교+병설유치원(8월)'!AJ29="",0,'초등학교+병설유치원(8월)'!AJ29)</x:f>
        <x:v>0</x:v>
      </x:c>
      <x:c r="G360" s="294" t="n">
        <x:f>IF('초등학교+병설유치원(8월)'!AK29="",0,'초등학교+병설유치원(8월)'!AK29)</x:f>
        <x:v>0</x:v>
      </x:c>
      <x:c r="H360" s="294" t="n">
        <x:f>IF('초등학교+병설유치원(8월)'!AL29="",0,'초등학교+병설유치원(8월)'!AL29)</x:f>
        <x:v>0</x:v>
      </x:c>
      <x:c r="I360" s="294" t="n">
        <x:f>IF('초등학교+병설유치원(8월)'!AM29="",0,'초등학교+병설유치원(8월)'!AM29)</x:f>
        <x:v>0</x:v>
      </x:c>
      <x:c r="J360" s="296" t="n">
        <x:f>SUM(E360:I360)</x:f>
        <x:v>3</x:v>
      </x:c>
      <x:c r="K360" s="291" t="str">
        <x:v>8월</x:v>
      </x:c>
    </x:row>
    <x:row r="361">
      <x:c r="A361" s="291" t="str">
        <x:f>IF('초등학교+병설유치원(8월)'!A29="","",'초등학교+병설유치원(8월)'!A29)</x:f>
        <x:v>16-1</x:v>
      </x:c>
      <x:c r="B361" s="291" t="str">
        <x:v>병설유치원</x:v>
      </x:c>
      <x:c r="C361" s="291" t="str">
        <x:f>IF('초등학교+병설유치원(8월)'!B29="","",'초등학교+병설유치원(8월)'!B29)</x:f>
        <x:v>이리북초 병설유치원</x:v>
      </x:c>
      <x:c r="D361" s="293" t="n">
        <x:v>46241</x:v>
      </x:c>
      <x:c r="E361" s="294" t="n">
        <x:f>IF('초등학교+병설유치원(8월)'!AO29="",0,'초등학교+병설유치원(8월)'!AO29)</x:f>
        <x:v>3</x:v>
      </x:c>
      <x:c r="F361" s="294" t="n">
        <x:f>IF('초등학교+병설유치원(8월)'!AP29="",0,'초등학교+병설유치원(8월)'!AP29)</x:f>
        <x:v>0</x:v>
      </x:c>
      <x:c r="G361" s="294" t="n">
        <x:f>IF('초등학교+병설유치원(8월)'!AQ29="",0,'초등학교+병설유치원(8월)'!AQ29)</x:f>
        <x:v>0</x:v>
      </x:c>
      <x:c r="H361" s="294" t="n">
        <x:f>IF('초등학교+병설유치원(8월)'!AR29="",0,'초등학교+병설유치원(8월)'!AR29)</x:f>
        <x:v>0</x:v>
      </x:c>
      <x:c r="I361" s="294" t="n">
        <x:f>IF('초등학교+병설유치원(8월)'!AS29="",0,'초등학교+병설유치원(8월)'!AS29)</x:f>
        <x:v>0</x:v>
      </x:c>
      <x:c r="J361" s="296" t="n">
        <x:f>SUM(E361:I361)</x:f>
        <x:v>3</x:v>
      </x:c>
      <x:c r="K361" s="291" t="str">
        <x:v>8월</x:v>
      </x:c>
    </x:row>
    <x:row r="362">
      <x:c r="A362" s="291" t="str">
        <x:f>IF('초등학교+병설유치원(8월)'!A29="","",'초등학교+병설유치원(8월)'!A29)</x:f>
        <x:v>16-1</x:v>
      </x:c>
      <x:c r="B362" s="291" t="str">
        <x:v>병설유치원</x:v>
      </x:c>
      <x:c r="C362" s="291" t="str">
        <x:f>IF('초등학교+병설유치원(8월)'!B29="","",'초등학교+병설유치원(8월)'!B29)</x:f>
        <x:v>이리북초 병설유치원</x:v>
      </x:c>
      <x:c r="D362" s="293" t="n">
        <x:v>46244</x:v>
      </x:c>
      <x:c r="E362" s="294" t="n">
        <x:f>IF('초등학교+병설유치원(8월)'!AU29="",0,'초등학교+병설유치원(8월)'!AU29)</x:f>
        <x:v>3</x:v>
      </x:c>
      <x:c r="F362" s="294" t="n">
        <x:f>IF('초등학교+병설유치원(8월)'!AV29="",0,'초등학교+병설유치원(8월)'!AV29)</x:f>
        <x:v>0</x:v>
      </x:c>
      <x:c r="G362" s="294" t="n">
        <x:f>IF('초등학교+병설유치원(8월)'!AW29="",0,'초등학교+병설유치원(8월)'!AW29)</x:f>
        <x:v>0</x:v>
      </x:c>
      <x:c r="H362" s="294" t="n">
        <x:f>IF('초등학교+병설유치원(8월)'!AX29="",0,'초등학교+병설유치원(8월)'!AX29)</x:f>
        <x:v>0</x:v>
      </x:c>
      <x:c r="I362" s="294" t="n">
        <x:f>IF('초등학교+병설유치원(8월)'!AY29="",0,'초등학교+병설유치원(8월)'!AY29)</x:f>
        <x:v>0</x:v>
      </x:c>
      <x:c r="J362" s="296" t="n">
        <x:f>SUM(E362:I362)</x:f>
        <x:v>3</x:v>
      </x:c>
      <x:c r="K362" s="291" t="str">
        <x:v>8월</x:v>
      </x:c>
    </x:row>
    <x:row r="363">
      <x:c r="A363" s="291" t="str">
        <x:f>IF('초등학교+병설유치원(8월)'!A29="","",'초등학교+병설유치원(8월)'!A29)</x:f>
        <x:v>16-1</x:v>
      </x:c>
      <x:c r="B363" s="291" t="str">
        <x:v>병설유치원</x:v>
      </x:c>
      <x:c r="C363" s="291" t="str">
        <x:f>IF('초등학교+병설유치원(8월)'!B29="","",'초등학교+병설유치원(8월)'!B29)</x:f>
        <x:v>이리북초 병설유치원</x:v>
      </x:c>
      <x:c r="D363" s="293" t="n">
        <x:v>46245</x:v>
      </x:c>
      <x:c r="E363" s="294" t="n">
        <x:f>IF('초등학교+병설유치원(8월)'!BA29="",0,'초등학교+병설유치원(8월)'!BA29)</x:f>
        <x:v>3</x:v>
      </x:c>
      <x:c r="F363" s="294" t="n">
        <x:f>IF('초등학교+병설유치원(8월)'!BB29="",0,'초등학교+병설유치원(8월)'!BB29)</x:f>
        <x:v>0</x:v>
      </x:c>
      <x:c r="G363" s="294" t="n">
        <x:f>IF('초등학교+병설유치원(8월)'!BC29="",0,'초등학교+병설유치원(8월)'!BC29)</x:f>
        <x:v>0</x:v>
      </x:c>
      <x:c r="H363" s="294" t="n">
        <x:f>IF('초등학교+병설유치원(8월)'!BD29="",0,'초등학교+병설유치원(8월)'!BD29)</x:f>
        <x:v>0</x:v>
      </x:c>
      <x:c r="I363" s="294" t="n">
        <x:f>IF('초등학교+병설유치원(8월)'!BE29="",0,'초등학교+병설유치원(8월)'!BE29)</x:f>
        <x:v>0</x:v>
      </x:c>
      <x:c r="J363" s="296" t="n">
        <x:f>SUM(E363:I363)</x:f>
        <x:v>3</x:v>
      </x:c>
      <x:c r="K363" s="291" t="str">
        <x:v>8월</x:v>
      </x:c>
    </x:row>
    <x:row r="364">
      <x:c r="A364" s="291" t="str">
        <x:f>IF('초등학교+병설유치원(8월)'!A29="","",'초등학교+병설유치원(8월)'!A29)</x:f>
        <x:v>16-1</x:v>
      </x:c>
      <x:c r="B364" s="291" t="str">
        <x:v>병설유치원</x:v>
      </x:c>
      <x:c r="C364" s="291" t="str">
        <x:f>IF('초등학교+병설유치원(8월)'!B29="","",'초등학교+병설유치원(8월)'!B29)</x:f>
        <x:v>이리북초 병설유치원</x:v>
      </x:c>
      <x:c r="D364" s="293" t="n">
        <x:v>46246</x:v>
      </x:c>
      <x:c r="E364" s="294" t="n">
        <x:f>IF('초등학교+병설유치원(8월)'!BG29="",0,'초등학교+병설유치원(8월)'!BG29)</x:f>
        <x:v>3</x:v>
      </x:c>
      <x:c r="F364" s="294" t="n">
        <x:f>IF('초등학교+병설유치원(8월)'!BH29="",0,'초등학교+병설유치원(8월)'!BH29)</x:f>
        <x:v>0</x:v>
      </x:c>
      <x:c r="G364" s="294" t="n">
        <x:f>IF('초등학교+병설유치원(8월)'!BI29="",0,'초등학교+병설유치원(8월)'!BI29)</x:f>
        <x:v>0</x:v>
      </x:c>
      <x:c r="H364" s="294" t="n">
        <x:f>IF('초등학교+병설유치원(8월)'!BJ29="",0,'초등학교+병설유치원(8월)'!BJ29)</x:f>
        <x:v>0</x:v>
      </x:c>
      <x:c r="I364" s="294" t="n">
        <x:f>IF('초등학교+병설유치원(8월)'!BK29="",0,'초등학교+병설유치원(8월)'!BK29)</x:f>
        <x:v>0</x:v>
      </x:c>
      <x:c r="J364" s="296" t="n">
        <x:f>SUM(E364:I364)</x:f>
        <x:v>3</x:v>
      </x:c>
      <x:c r="K364" s="291" t="str">
        <x:v>8월</x:v>
      </x:c>
    </x:row>
    <x:row r="365">
      <x:c r="A365" s="291" t="n">
        <x:f>IF('초등학교+병설유치원(8월)'!A30="","",'초등학교+병설유치원(8월)'!A30)</x:f>
        <x:v>17</x:v>
      </x:c>
      <x:c r="B365" s="291" t="str">
        <x:v>초등학교</x:v>
      </x:c>
      <x:c r="C365" s="291" t="str">
        <x:f>IF('초등학교+병설유치원(8월)'!B30="","",'초등학교+병설유치원(8월)'!B30)</x:f>
        <x:v>이리삼성초</x:v>
      </x:c>
      <x:c r="D365" s="293" t="n">
        <x:v>46237</x:v>
      </x:c>
      <x:c r="E365" s="294" t="n">
        <x:f>IF('초등학교+병설유치원(8월)'!Q30="",0,'초등학교+병설유치원(8월)'!Q30)</x:f>
        <x:v>16</x:v>
      </x:c>
      <x:c r="F365" s="294" t="n">
        <x:f>IF('초등학교+병설유치원(8월)'!R30="",0,'초등학교+병설유치원(8월)'!R30)</x:f>
        <x:v>0</x:v>
      </x:c>
      <x:c r="G365" s="294" t="n">
        <x:f>IF('초등학교+병설유치원(8월)'!S30="",0,'초등학교+병설유치원(8월)'!S30)</x:f>
        <x:v>0</x:v>
      </x:c>
      <x:c r="H365" s="294" t="n">
        <x:f>IF('초등학교+병설유치원(8월)'!T30="",0,'초등학교+병설유치원(8월)'!T30)</x:f>
        <x:v>0</x:v>
      </x:c>
      <x:c r="I365" s="294" t="n">
        <x:f>IF('초등학교+병설유치원(8월)'!U30="",0,'초등학교+병설유치원(8월)'!U30)</x:f>
        <x:v>0</x:v>
      </x:c>
      <x:c r="J365" s="296" t="n">
        <x:f>SUM(E365:I365)</x:f>
        <x:v>16</x:v>
      </x:c>
      <x:c r="K365" s="291" t="str">
        <x:v>8월</x:v>
      </x:c>
    </x:row>
    <x:row r="366">
      <x:c r="A366" s="291" t="n">
        <x:f>IF('초등학교+병설유치원(8월)'!A30="","",'초등학교+병설유치원(8월)'!A30)</x:f>
        <x:v>17</x:v>
      </x:c>
      <x:c r="B366" s="291" t="str">
        <x:v>초등학교</x:v>
      </x:c>
      <x:c r="C366" s="291" t="str">
        <x:f>IF('초등학교+병설유치원(8월)'!B30="","",'초등학교+병설유치원(8월)'!B30)</x:f>
        <x:v>이리삼성초</x:v>
      </x:c>
      <x:c r="D366" s="293" t="n">
        <x:v>46238</x:v>
      </x:c>
      <x:c r="E366" s="294" t="n">
        <x:f>IF('초등학교+병설유치원(8월)'!W30="",0,'초등학교+병설유치원(8월)'!W30)</x:f>
        <x:v>16</x:v>
      </x:c>
      <x:c r="F366" s="294" t="n">
        <x:f>IF('초등학교+병설유치원(8월)'!X30="",0,'초등학교+병설유치원(8월)'!X30)</x:f>
        <x:v>0</x:v>
      </x:c>
      <x:c r="G366" s="294" t="n">
        <x:f>IF('초등학교+병설유치원(8월)'!Y30="",0,'초등학교+병설유치원(8월)'!Y30)</x:f>
        <x:v>0</x:v>
      </x:c>
      <x:c r="H366" s="294" t="n">
        <x:f>IF('초등학교+병설유치원(8월)'!Z30="",0,'초등학교+병설유치원(8월)'!Z30)</x:f>
        <x:v>0</x:v>
      </x:c>
      <x:c r="I366" s="294" t="n">
        <x:f>IF('초등학교+병설유치원(8월)'!AA30="",0,'초등학교+병설유치원(8월)'!AA30)</x:f>
        <x:v>0</x:v>
      </x:c>
      <x:c r="J366" s="296" t="n">
        <x:f>SUM(E366:I366)</x:f>
        <x:v>16</x:v>
      </x:c>
      <x:c r="K366" s="291" t="str">
        <x:v>8월</x:v>
      </x:c>
    </x:row>
    <x:row r="367">
      <x:c r="A367" s="291" t="n">
        <x:f>IF('초등학교+병설유치원(8월)'!A30="","",'초등학교+병설유치원(8월)'!A30)</x:f>
        <x:v>17</x:v>
      </x:c>
      <x:c r="B367" s="291" t="str">
        <x:v>초등학교</x:v>
      </x:c>
      <x:c r="C367" s="291" t="str">
        <x:f>IF('초등학교+병설유치원(8월)'!B30="","",'초등학교+병설유치원(8월)'!B30)</x:f>
        <x:v>이리삼성초</x:v>
      </x:c>
      <x:c r="D367" s="293" t="n">
        <x:v>46239</x:v>
      </x:c>
      <x:c r="E367" s="294" t="n">
        <x:f>IF('초등학교+병설유치원(8월)'!AC30="",0,'초등학교+병설유치원(8월)'!AC30)</x:f>
        <x:v>16</x:v>
      </x:c>
      <x:c r="F367" s="294" t="n">
        <x:f>IF('초등학교+병설유치원(8월)'!AD30="",0,'초등학교+병설유치원(8월)'!AD30)</x:f>
        <x:v>0</x:v>
      </x:c>
      <x:c r="G367" s="294" t="n">
        <x:f>IF('초등학교+병설유치원(8월)'!AE30="",0,'초등학교+병설유치원(8월)'!AE30)</x:f>
        <x:v>0</x:v>
      </x:c>
      <x:c r="H367" s="294" t="n">
        <x:f>IF('초등학교+병설유치원(8월)'!AF30="",0,'초등학교+병설유치원(8월)'!AF30)</x:f>
        <x:v>0</x:v>
      </x:c>
      <x:c r="I367" s="294" t="n">
        <x:f>IF('초등학교+병설유치원(8월)'!AG30="",0,'초등학교+병설유치원(8월)'!AG30)</x:f>
        <x:v>0</x:v>
      </x:c>
      <x:c r="J367" s="296" t="n">
        <x:f>SUM(E367:I367)</x:f>
        <x:v>16</x:v>
      </x:c>
      <x:c r="K367" s="291" t="str">
        <x:v>8월</x:v>
      </x:c>
    </x:row>
    <x:row r="368">
      <x:c r="A368" s="291" t="n">
        <x:f>IF('초등학교+병설유치원(8월)'!A30="","",'초등학교+병설유치원(8월)'!A30)</x:f>
        <x:v>17</x:v>
      </x:c>
      <x:c r="B368" s="291" t="str">
        <x:v>초등학교</x:v>
      </x:c>
      <x:c r="C368" s="291" t="str">
        <x:f>IF('초등학교+병설유치원(8월)'!B30="","",'초등학교+병설유치원(8월)'!B30)</x:f>
        <x:v>이리삼성초</x:v>
      </x:c>
      <x:c r="D368" s="293" t="n">
        <x:v>46240</x:v>
      </x:c>
      <x:c r="E368" s="294" t="n">
        <x:f>IF('초등학교+병설유치원(8월)'!AI30="",0,'초등학교+병설유치원(8월)'!AI30)</x:f>
        <x:v>16</x:v>
      </x:c>
      <x:c r="F368" s="294" t="n">
        <x:f>IF('초등학교+병설유치원(8월)'!AJ30="",0,'초등학교+병설유치원(8월)'!AJ30)</x:f>
        <x:v>0</x:v>
      </x:c>
      <x:c r="G368" s="294" t="n">
        <x:f>IF('초등학교+병설유치원(8월)'!AK30="",0,'초등학교+병설유치원(8월)'!AK30)</x:f>
        <x:v>0</x:v>
      </x:c>
      <x:c r="H368" s="294" t="n">
        <x:f>IF('초등학교+병설유치원(8월)'!AL30="",0,'초등학교+병설유치원(8월)'!AL30)</x:f>
        <x:v>0</x:v>
      </x:c>
      <x:c r="I368" s="294" t="n">
        <x:f>IF('초등학교+병설유치원(8월)'!AM30="",0,'초등학교+병설유치원(8월)'!AM30)</x:f>
        <x:v>0</x:v>
      </x:c>
      <x:c r="J368" s="296" t="n">
        <x:f>SUM(E368:I368)</x:f>
        <x:v>16</x:v>
      </x:c>
      <x:c r="K368" s="291" t="str">
        <x:v>8월</x:v>
      </x:c>
    </x:row>
    <x:row r="369">
      <x:c r="A369" s="291" t="n">
        <x:f>IF('초등학교+병설유치원(8월)'!A30="","",'초등학교+병설유치원(8월)'!A30)</x:f>
        <x:v>17</x:v>
      </x:c>
      <x:c r="B369" s="291" t="str">
        <x:v>초등학교</x:v>
      </x:c>
      <x:c r="C369" s="291" t="str">
        <x:f>IF('초등학교+병설유치원(8월)'!B30="","",'초등학교+병설유치원(8월)'!B30)</x:f>
        <x:v>이리삼성초</x:v>
      </x:c>
      <x:c r="D369" s="293" t="n">
        <x:v>46241</x:v>
      </x:c>
      <x:c r="E369" s="294" t="n">
        <x:f>IF('초등학교+병설유치원(8월)'!AO30="",0,'초등학교+병설유치원(8월)'!AO30)</x:f>
        <x:v>16</x:v>
      </x:c>
      <x:c r="F369" s="294" t="n">
        <x:f>IF('초등학교+병설유치원(8월)'!AP30="",0,'초등학교+병설유치원(8월)'!AP30)</x:f>
        <x:v>0</x:v>
      </x:c>
      <x:c r="G369" s="294" t="n">
        <x:f>IF('초등학교+병설유치원(8월)'!AQ30="",0,'초등학교+병설유치원(8월)'!AQ30)</x:f>
        <x:v>0</x:v>
      </x:c>
      <x:c r="H369" s="294" t="n">
        <x:f>IF('초등학교+병설유치원(8월)'!AR30="",0,'초등학교+병설유치원(8월)'!AR30)</x:f>
        <x:v>0</x:v>
      </x:c>
      <x:c r="I369" s="294" t="n">
        <x:f>IF('초등학교+병설유치원(8월)'!AS30="",0,'초등학교+병설유치원(8월)'!AS30)</x:f>
        <x:v>0</x:v>
      </x:c>
      <x:c r="J369" s="296" t="n">
        <x:f>SUM(E369:I369)</x:f>
        <x:v>16</x:v>
      </x:c>
      <x:c r="K369" s="291" t="str">
        <x:v>8월</x:v>
      </x:c>
    </x:row>
    <x:row r="370">
      <x:c r="A370" s="291" t="n">
        <x:f>IF('초등학교+병설유치원(8월)'!A30="","",'초등학교+병설유치원(8월)'!A30)</x:f>
        <x:v>17</x:v>
      </x:c>
      <x:c r="B370" s="291" t="str">
        <x:v>초등학교</x:v>
      </x:c>
      <x:c r="C370" s="291" t="str">
        <x:f>IF('초등학교+병설유치원(8월)'!B30="","",'초등학교+병설유치원(8월)'!B30)</x:f>
        <x:v>이리삼성초</x:v>
      </x:c>
      <x:c r="D370" s="293" t="n">
        <x:v>46244</x:v>
      </x:c>
      <x:c r="E370" s="294" t="n">
        <x:f>IF('초등학교+병설유치원(8월)'!AU30="",0,'초등학교+병설유치원(8월)'!AU30)</x:f>
        <x:v>16</x:v>
      </x:c>
      <x:c r="F370" s="294" t="n">
        <x:f>IF('초등학교+병설유치원(8월)'!AV30="",0,'초등학교+병설유치원(8월)'!AV30)</x:f>
        <x:v>0</x:v>
      </x:c>
      <x:c r="G370" s="294" t="n">
        <x:f>IF('초등학교+병설유치원(8월)'!AW30="",0,'초등학교+병설유치원(8월)'!AW30)</x:f>
        <x:v>0</x:v>
      </x:c>
      <x:c r="H370" s="294" t="n">
        <x:f>IF('초등학교+병설유치원(8월)'!AX30="",0,'초등학교+병설유치원(8월)'!AX30)</x:f>
        <x:v>0</x:v>
      </x:c>
      <x:c r="I370" s="294" t="n">
        <x:f>IF('초등학교+병설유치원(8월)'!AY30="",0,'초등학교+병설유치원(8월)'!AY30)</x:f>
        <x:v>0</x:v>
      </x:c>
      <x:c r="J370" s="296" t="n">
        <x:f>SUM(E370:I370)</x:f>
        <x:v>16</x:v>
      </x:c>
      <x:c r="K370" s="291" t="str">
        <x:v>8월</x:v>
      </x:c>
    </x:row>
    <x:row r="371">
      <x:c r="A371" s="291" t="n">
        <x:f>IF('초등학교+병설유치원(8월)'!A30="","",'초등학교+병설유치원(8월)'!A30)</x:f>
        <x:v>17</x:v>
      </x:c>
      <x:c r="B371" s="291" t="str">
        <x:v>초등학교</x:v>
      </x:c>
      <x:c r="C371" s="291" t="str">
        <x:f>IF('초등학교+병설유치원(8월)'!B30="","",'초등학교+병설유치원(8월)'!B30)</x:f>
        <x:v>이리삼성초</x:v>
      </x:c>
      <x:c r="D371" s="293" t="n">
        <x:v>46245</x:v>
      </x:c>
      <x:c r="E371" s="294" t="n">
        <x:f>IF('초등학교+병설유치원(8월)'!BA30="",0,'초등학교+병설유치원(8월)'!BA30)</x:f>
        <x:v>16</x:v>
      </x:c>
      <x:c r="F371" s="294" t="n">
        <x:f>IF('초등학교+병설유치원(8월)'!BB30="",0,'초등학교+병설유치원(8월)'!BB30)</x:f>
        <x:v>0</x:v>
      </x:c>
      <x:c r="G371" s="294" t="n">
        <x:f>IF('초등학교+병설유치원(8월)'!BC30="",0,'초등학교+병설유치원(8월)'!BC30)</x:f>
        <x:v>0</x:v>
      </x:c>
      <x:c r="H371" s="294" t="n">
        <x:f>IF('초등학교+병설유치원(8월)'!BD30="",0,'초등학교+병설유치원(8월)'!BD30)</x:f>
        <x:v>0</x:v>
      </x:c>
      <x:c r="I371" s="294" t="n">
        <x:f>IF('초등학교+병설유치원(8월)'!BE30="",0,'초등학교+병설유치원(8월)'!BE30)</x:f>
        <x:v>0</x:v>
      </x:c>
      <x:c r="J371" s="296" t="n">
        <x:f>SUM(E371:I371)</x:f>
        <x:v>16</x:v>
      </x:c>
      <x:c r="K371" s="291" t="str">
        <x:v>8월</x:v>
      </x:c>
    </x:row>
    <x:row r="372">
      <x:c r="A372" s="291" t="n">
        <x:f>IF('초등학교+병설유치원(8월)'!A30="","",'초등학교+병설유치원(8월)'!A30)</x:f>
        <x:v>17</x:v>
      </x:c>
      <x:c r="B372" s="291" t="str">
        <x:v>초등학교</x:v>
      </x:c>
      <x:c r="C372" s="291" t="str">
        <x:f>IF('초등학교+병설유치원(8월)'!B30="","",'초등학교+병설유치원(8월)'!B30)</x:f>
        <x:v>이리삼성초</x:v>
      </x:c>
      <x:c r="D372" s="293" t="n">
        <x:v>46246</x:v>
      </x:c>
      <x:c r="E372" s="294" t="n">
        <x:f>IF('초등학교+병설유치원(8월)'!BG30="",0,'초등학교+병설유치원(8월)'!BG30)</x:f>
        <x:v>16</x:v>
      </x:c>
      <x:c r="F372" s="294" t="n">
        <x:f>IF('초등학교+병설유치원(8월)'!BH30="",0,'초등학교+병설유치원(8월)'!BH30)</x:f>
        <x:v>0</x:v>
      </x:c>
      <x:c r="G372" s="294" t="n">
        <x:f>IF('초등학교+병설유치원(8월)'!BI30="",0,'초등학교+병설유치원(8월)'!BI30)</x:f>
        <x:v>0</x:v>
      </x:c>
      <x:c r="H372" s="294" t="n">
        <x:f>IF('초등학교+병설유치원(8월)'!BJ30="",0,'초등학교+병설유치원(8월)'!BJ30)</x:f>
        <x:v>0</x:v>
      </x:c>
      <x:c r="I372" s="294" t="n">
        <x:f>IF('초등학교+병설유치원(8월)'!BK30="",0,'초등학교+병설유치원(8월)'!BK30)</x:f>
        <x:v>0</x:v>
      </x:c>
      <x:c r="J372" s="296" t="n">
        <x:f>SUM(E372:I372)</x:f>
        <x:v>16</x:v>
      </x:c>
      <x:c r="K372" s="291" t="str">
        <x:v>8월</x:v>
      </x:c>
    </x:row>
    <x:row r="373">
      <x:c r="A373" s="291" t="n">
        <x:f>IF('초등학교+병설유치원(8월)'!A30="","",'초등학교+병설유치원(8월)'!A30)</x:f>
        <x:v>17</x:v>
      </x:c>
      <x:c r="B373" s="291" t="str">
        <x:v>초등학교</x:v>
      </x:c>
      <x:c r="C373" s="291" t="str">
        <x:f>IF('초등학교+병설유치원(8월)'!B30="","",'초등학교+병설유치원(8월)'!B30)</x:f>
        <x:v>이리삼성초</x:v>
      </x:c>
      <x:c r="D373" s="293" t="n">
        <x:v>46247</x:v>
      </x:c>
      <x:c r="E373" s="294" t="n">
        <x:f>IF('초등학교+병설유치원(8월)'!BM30="",0,'초등학교+병설유치원(8월)'!BM30)</x:f>
        <x:v>16</x:v>
      </x:c>
      <x:c r="F373" s="294" t="n">
        <x:f>IF('초등학교+병설유치원(8월)'!BN30="",0,'초등학교+병설유치원(8월)'!BN30)</x:f>
        <x:v>0</x:v>
      </x:c>
      <x:c r="G373" s="294" t="n">
        <x:f>IF('초등학교+병설유치원(8월)'!BO30="",0,'초등학교+병설유치원(8월)'!BO30)</x:f>
        <x:v>0</x:v>
      </x:c>
      <x:c r="H373" s="294" t="n">
        <x:f>IF('초등학교+병설유치원(8월)'!BP30="",0,'초등학교+병설유치원(8월)'!BP30)</x:f>
        <x:v>0</x:v>
      </x:c>
      <x:c r="I373" s="294" t="n">
        <x:f>IF('초등학교+병설유치원(8월)'!BQ30="",0,'초등학교+병설유치원(8월)'!BQ30)</x:f>
        <x:v>0</x:v>
      </x:c>
      <x:c r="J373" s="296" t="n">
        <x:f>SUM(E373:I373)</x:f>
        <x:v>16</x:v>
      </x:c>
      <x:c r="K373" s="291" t="str">
        <x:v>8월</x:v>
      </x:c>
    </x:row>
    <x:row r="374">
      <x:c r="A374" s="291" t="n">
        <x:f>IF('초등학교+병설유치원(8월)'!A30="","",'초등학교+병설유치원(8월)'!A30)</x:f>
        <x:v>17</x:v>
      </x:c>
      <x:c r="B374" s="291" t="str">
        <x:v>초등학교</x:v>
      </x:c>
      <x:c r="C374" s="291" t="str">
        <x:f>IF('초등학교+병설유치원(8월)'!B30="","",'초등학교+병설유치원(8월)'!B30)</x:f>
        <x:v>이리삼성초</x:v>
      </x:c>
      <x:c r="D374" s="293" t="n">
        <x:v>46248</x:v>
      </x:c>
      <x:c r="E374" s="294" t="n">
        <x:f>IF('초등학교+병설유치원(8월)'!BS30="",0,'초등학교+병설유치원(8월)'!BS30)</x:f>
        <x:v>16</x:v>
      </x:c>
      <x:c r="F374" s="294" t="n">
        <x:f>IF('초등학교+병설유치원(8월)'!BT30="",0,'초등학교+병설유치원(8월)'!BT30)</x:f>
        <x:v>0</x:v>
      </x:c>
      <x:c r="G374" s="294" t="n">
        <x:f>IF('초등학교+병설유치원(8월)'!BU30="",0,'초등학교+병설유치원(8월)'!BU30)</x:f>
        <x:v>0</x:v>
      </x:c>
      <x:c r="H374" s="294" t="n">
        <x:f>IF('초등학교+병설유치원(8월)'!BV30="",0,'초등학교+병설유치원(8월)'!BV30)</x:f>
        <x:v>0</x:v>
      </x:c>
      <x:c r="I374" s="294" t="n">
        <x:f>IF('초등학교+병설유치원(8월)'!BW30="",0,'초등학교+병설유치원(8월)'!BW30)</x:f>
        <x:v>0</x:v>
      </x:c>
      <x:c r="J374" s="296" t="n">
        <x:f>SUM(E374:I374)</x:f>
        <x:v>16</x:v>
      </x:c>
      <x:c r="K374" s="291" t="str">
        <x:v>8월</x:v>
      </x:c>
    </x:row>
    <x:row r="375">
      <x:c r="A375" s="291" t="n">
        <x:f>IF('초등학교+병설유치원(8월)'!A30="","",'초등학교+병설유치원(8월)'!A30)</x:f>
        <x:v>17</x:v>
      </x:c>
      <x:c r="B375" s="291" t="str">
        <x:v>초등학교</x:v>
      </x:c>
      <x:c r="C375" s="291" t="str">
        <x:f>IF('초등학교+병설유치원(8월)'!B30="","",'초등학교+병설유치원(8월)'!B30)</x:f>
        <x:v>이리삼성초</x:v>
      </x:c>
      <x:c r="D375" s="293" t="n">
        <x:v>46252</x:v>
      </x:c>
      <x:c r="E375" s="294" t="n">
        <x:f>IF('초등학교+병설유치원(8월)'!BY30="",0,'초등학교+병설유치원(8월)'!BY30)</x:f>
        <x:v>16</x:v>
      </x:c>
      <x:c r="F375" s="294" t="n">
        <x:f>IF('초등학교+병설유치원(8월)'!BZ30="",0,'초등학교+병설유치원(8월)'!BZ30)</x:f>
        <x:v>0</x:v>
      </x:c>
      <x:c r="G375" s="294" t="n">
        <x:f>IF('초등학교+병설유치원(8월)'!CA30="",0,'초등학교+병설유치원(8월)'!CA30)</x:f>
        <x:v>0</x:v>
      </x:c>
      <x:c r="H375" s="294" t="n">
        <x:f>IF('초등학교+병설유치원(8월)'!CB30="",0,'초등학교+병설유치원(8월)'!CB30)</x:f>
        <x:v>0</x:v>
      </x:c>
      <x:c r="I375" s="294" t="n">
        <x:f>IF('초등학교+병설유치원(8월)'!CC30="",0,'초등학교+병설유치원(8월)'!CC30)</x:f>
        <x:v>0</x:v>
      </x:c>
      <x:c r="J375" s="296" t="n">
        <x:f>SUM(E375:I375)</x:f>
        <x:v>16</x:v>
      </x:c>
      <x:c r="K375" s="291" t="str">
        <x:v>8월</x:v>
      </x:c>
    </x:row>
    <x:row r="376">
      <x:c r="A376" s="291" t="n">
        <x:f>IF('초등학교+병설유치원(8월)'!A30="","",'초등학교+병설유치원(8월)'!A30)</x:f>
        <x:v>17</x:v>
      </x:c>
      <x:c r="B376" s="291" t="str">
        <x:v>초등학교</x:v>
      </x:c>
      <x:c r="C376" s="291" t="str">
        <x:f>IF('초등학교+병설유치원(8월)'!B30="","",'초등학교+병설유치원(8월)'!B30)</x:f>
        <x:v>이리삼성초</x:v>
      </x:c>
      <x:c r="D376" s="293" t="n">
        <x:v>46253</x:v>
      </x:c>
      <x:c r="E376" s="294" t="n">
        <x:f>IF('초등학교+병설유치원(8월)'!CE30="",0,'초등학교+병설유치원(8월)'!CE30)</x:f>
        <x:v>16</x:v>
      </x:c>
      <x:c r="F376" s="294" t="n">
        <x:f>IF('초등학교+병설유치원(8월)'!CF30="",0,'초등학교+병설유치원(8월)'!CF30)</x:f>
        <x:v>0</x:v>
      </x:c>
      <x:c r="G376" s="294" t="n">
        <x:f>IF('초등학교+병설유치원(8월)'!CG30="",0,'초등학교+병설유치원(8월)'!CG30)</x:f>
        <x:v>0</x:v>
      </x:c>
      <x:c r="H376" s="294" t="n">
        <x:f>IF('초등학교+병설유치원(8월)'!CH30="",0,'초등학교+병설유치원(8월)'!CH30)</x:f>
        <x:v>0</x:v>
      </x:c>
      <x:c r="I376" s="294" t="n">
        <x:f>IF('초등학교+병설유치원(8월)'!CI30="",0,'초등학교+병설유치원(8월)'!CI30)</x:f>
        <x:v>0</x:v>
      </x:c>
      <x:c r="J376" s="296" t="n">
        <x:f>SUM(E376:I376)</x:f>
        <x:v>16</x:v>
      </x:c>
      <x:c r="K376" s="291" t="str">
        <x:v>8월</x:v>
      </x:c>
    </x:row>
    <x:row r="377">
      <x:c r="A377" s="291" t="n">
        <x:f>IF('초등학교+병설유치원(8월)'!A30="","",'초등학교+병설유치원(8월)'!A30)</x:f>
        <x:v>17</x:v>
      </x:c>
      <x:c r="B377" s="291" t="str">
        <x:v>초등학교</x:v>
      </x:c>
      <x:c r="C377" s="291" t="str">
        <x:f>IF('초등학교+병설유치원(8월)'!B30="","",'초등학교+병설유치원(8월)'!B30)</x:f>
        <x:v>이리삼성초</x:v>
      </x:c>
      <x:c r="D377" s="293" t="n">
        <x:v>46254</x:v>
      </x:c>
      <x:c r="E377" s="294" t="n">
        <x:f>IF('초등학교+병설유치원(8월)'!CK30="",0,'초등학교+병설유치원(8월)'!CK30)</x:f>
        <x:v>16</x:v>
      </x:c>
      <x:c r="F377" s="294" t="n">
        <x:f>IF('초등학교+병설유치원(8월)'!CL30="",0,'초등학교+병설유치원(8월)'!CL30)</x:f>
        <x:v>0</x:v>
      </x:c>
      <x:c r="G377" s="294" t="n">
        <x:f>IF('초등학교+병설유치원(8월)'!CM30="",0,'초등학교+병설유치원(8월)'!CM30)</x:f>
        <x:v>0</x:v>
      </x:c>
      <x:c r="H377" s="294" t="n">
        <x:f>IF('초등학교+병설유치원(8월)'!CN30="",0,'초등학교+병설유치원(8월)'!CN30)</x:f>
        <x:v>0</x:v>
      </x:c>
      <x:c r="I377" s="294" t="n">
        <x:f>IF('초등학교+병설유치원(8월)'!CO30="",0,'초등학교+병설유치원(8월)'!CO30)</x:f>
        <x:v>0</x:v>
      </x:c>
      <x:c r="J377" s="296" t="n">
        <x:f>SUM(E377:I377)</x:f>
        <x:v>16</x:v>
      </x:c>
      <x:c r="K377" s="291" t="str">
        <x:v>8월</x:v>
      </x:c>
    </x:row>
    <x:row r="378">
      <x:c r="A378" s="291" t="n">
        <x:f>IF('초등학교+병설유치원(8월)'!A30="","",'초등학교+병설유치원(8월)'!A30)</x:f>
        <x:v>17</x:v>
      </x:c>
      <x:c r="B378" s="291" t="str">
        <x:v>초등학교</x:v>
      </x:c>
      <x:c r="C378" s="291" t="str">
        <x:f>IF('초등학교+병설유치원(8월)'!B30="","",'초등학교+병설유치원(8월)'!B30)</x:f>
        <x:v>이리삼성초</x:v>
      </x:c>
      <x:c r="D378" s="293" t="n">
        <x:v>46255</x:v>
      </x:c>
      <x:c r="E378" s="294" t="n">
        <x:f>IF('초등학교+병설유치원(8월)'!CQ30="",0,'초등학교+병설유치원(8월)'!CQ30)</x:f>
        <x:v>16</x:v>
      </x:c>
      <x:c r="F378" s="294" t="n">
        <x:f>IF('초등학교+병설유치원(8월)'!CR30="",0,'초등학교+병설유치원(8월)'!CR30)</x:f>
        <x:v>0</x:v>
      </x:c>
      <x:c r="G378" s="294" t="n">
        <x:f>IF('초등학교+병설유치원(8월)'!CS30="",0,'초등학교+병설유치원(8월)'!CS30)</x:f>
        <x:v>0</x:v>
      </x:c>
      <x:c r="H378" s="294" t="n">
        <x:f>IF('초등학교+병설유치원(8월)'!CT30="",0,'초등학교+병설유치원(8월)'!CT30)</x:f>
        <x:v>0</x:v>
      </x:c>
      <x:c r="I378" s="294" t="n">
        <x:f>IF('초등학교+병설유치원(8월)'!CU30="",0,'초등학교+병설유치원(8월)'!CU30)</x:f>
        <x:v>0</x:v>
      </x:c>
      <x:c r="J378" s="296" t="n">
        <x:f>SUM(E378:I378)</x:f>
        <x:v>16</x:v>
      </x:c>
      <x:c r="K378" s="291" t="str">
        <x:v>8월</x:v>
      </x:c>
    </x:row>
    <x:row r="379">
      <x:c r="A379" s="291" t="n">
        <x:f>IF('초등학교+병설유치원(8월)'!A31="","",'초등학교+병설유치원(8월)'!A31)</x:f>
        <x:v>18</x:v>
      </x:c>
      <x:c r="B379" s="291" t="str">
        <x:v>초등학교</x:v>
      </x:c>
      <x:c r="C379" s="291" t="str">
        <x:f>IF('초등학교+병설유치원(8월)'!B31="","",'초등학교+병설유치원(8월)'!B31)</x:f>
        <x:v>이리서초</x:v>
      </x:c>
      <x:c r="D379" s="293" t="n">
        <x:v>46237</x:v>
      </x:c>
      <x:c r="E379" s="294" t="n">
        <x:f>IF('초등학교+병설유치원(8월)'!Q31="",0,'초등학교+병설유치원(8월)'!Q31)</x:f>
        <x:v>21</x:v>
      </x:c>
      <x:c r="F379" s="294" t="n">
        <x:f>IF('초등학교+병설유치원(8월)'!R31="",0,'초등학교+병설유치원(8월)'!R31)</x:f>
        <x:v>20</x:v>
      </x:c>
      <x:c r="G379" s="294" t="n">
        <x:f>IF('초등학교+병설유치원(8월)'!S31="",0,'초등학교+병설유치원(8월)'!S31)</x:f>
        <x:v>0</x:v>
      </x:c>
      <x:c r="H379" s="294" t="n">
        <x:f>IF('초등학교+병설유치원(8월)'!T31="",0,'초등학교+병설유치원(8월)'!T31)</x:f>
        <x:v>0</x:v>
      </x:c>
      <x:c r="I379" s="294" t="n">
        <x:f>IF('초등학교+병설유치원(8월)'!U31="",0,'초등학교+병설유치원(8월)'!U31)</x:f>
        <x:v>0</x:v>
      </x:c>
      <x:c r="J379" s="296" t="n">
        <x:f>SUM(E379:I379)</x:f>
        <x:v>41</x:v>
      </x:c>
      <x:c r="K379" s="291" t="str">
        <x:v>8월</x:v>
      </x:c>
    </x:row>
    <x:row r="380">
      <x:c r="A380" s="291" t="n">
        <x:f>IF('초등학교+병설유치원(8월)'!A31="","",'초등학교+병설유치원(8월)'!A31)</x:f>
        <x:v>18</x:v>
      </x:c>
      <x:c r="B380" s="291" t="str">
        <x:v>초등학교</x:v>
      </x:c>
      <x:c r="C380" s="291" t="str">
        <x:f>IF('초등학교+병설유치원(8월)'!B31="","",'초등학교+병설유치원(8월)'!B31)</x:f>
        <x:v>이리서초</x:v>
      </x:c>
      <x:c r="D380" s="293" t="n">
        <x:v>46238</x:v>
      </x:c>
      <x:c r="E380" s="294" t="n">
        <x:f>IF('초등학교+병설유치원(8월)'!W31="",0,'초등학교+병설유치원(8월)'!W31)</x:f>
        <x:v>21</x:v>
      </x:c>
      <x:c r="F380" s="294" t="n">
        <x:f>IF('초등학교+병설유치원(8월)'!X31="",0,'초등학교+병설유치원(8월)'!X31)</x:f>
        <x:v>20</x:v>
      </x:c>
      <x:c r="G380" s="294" t="n">
        <x:f>IF('초등학교+병설유치원(8월)'!Y31="",0,'초등학교+병설유치원(8월)'!Y31)</x:f>
        <x:v>0</x:v>
      </x:c>
      <x:c r="H380" s="294" t="n">
        <x:f>IF('초등학교+병설유치원(8월)'!Z31="",0,'초등학교+병설유치원(8월)'!Z31)</x:f>
        <x:v>0</x:v>
      </x:c>
      <x:c r="I380" s="294" t="n">
        <x:f>IF('초등학교+병설유치원(8월)'!AA31="",0,'초등학교+병설유치원(8월)'!AA31)</x:f>
        <x:v>0</x:v>
      </x:c>
      <x:c r="J380" s="296" t="n">
        <x:f>SUM(E380:I380)</x:f>
        <x:v>41</x:v>
      </x:c>
      <x:c r="K380" s="291" t="str">
        <x:v>8월</x:v>
      </x:c>
    </x:row>
    <x:row r="381">
      <x:c r="A381" s="291" t="n">
        <x:f>IF('초등학교+병설유치원(8월)'!A31="","",'초등학교+병설유치원(8월)'!A31)</x:f>
        <x:v>18</x:v>
      </x:c>
      <x:c r="B381" s="291" t="str">
        <x:v>초등학교</x:v>
      </x:c>
      <x:c r="C381" s="291" t="str">
        <x:f>IF('초등학교+병설유치원(8월)'!B31="","",'초등학교+병설유치원(8월)'!B31)</x:f>
        <x:v>이리서초</x:v>
      </x:c>
      <x:c r="D381" s="293" t="n">
        <x:v>46239</x:v>
      </x:c>
      <x:c r="E381" s="294" t="n">
        <x:f>IF('초등학교+병설유치원(8월)'!AC31="",0,'초등학교+병설유치원(8월)'!AC31)</x:f>
        <x:v>21</x:v>
      </x:c>
      <x:c r="F381" s="294" t="n">
        <x:f>IF('초등학교+병설유치원(8월)'!AD31="",0,'초등학교+병설유치원(8월)'!AD31)</x:f>
        <x:v>20</x:v>
      </x:c>
      <x:c r="G381" s="294" t="n">
        <x:f>IF('초등학교+병설유치원(8월)'!AE31="",0,'초등학교+병설유치원(8월)'!AE31)</x:f>
        <x:v>0</x:v>
      </x:c>
      <x:c r="H381" s="294" t="n">
        <x:f>IF('초등학교+병설유치원(8월)'!AF31="",0,'초등학교+병설유치원(8월)'!AF31)</x:f>
        <x:v>0</x:v>
      </x:c>
      <x:c r="I381" s="294" t="n">
        <x:f>IF('초등학교+병설유치원(8월)'!AG31="",0,'초등학교+병설유치원(8월)'!AG31)</x:f>
        <x:v>0</x:v>
      </x:c>
      <x:c r="J381" s="296" t="n">
        <x:f>SUM(E381:I381)</x:f>
        <x:v>41</x:v>
      </x:c>
      <x:c r="K381" s="291" t="str">
        <x:v>8월</x:v>
      </x:c>
    </x:row>
    <x:row r="382">
      <x:c r="A382" s="291" t="n">
        <x:f>IF('초등학교+병설유치원(8월)'!A31="","",'초등학교+병설유치원(8월)'!A31)</x:f>
        <x:v>18</x:v>
      </x:c>
      <x:c r="B382" s="291" t="str">
        <x:v>초등학교</x:v>
      </x:c>
      <x:c r="C382" s="291" t="str">
        <x:f>IF('초등학교+병설유치원(8월)'!B31="","",'초등학교+병설유치원(8월)'!B31)</x:f>
        <x:v>이리서초</x:v>
      </x:c>
      <x:c r="D382" s="293" t="n">
        <x:v>46240</x:v>
      </x:c>
      <x:c r="E382" s="294" t="n">
        <x:f>IF('초등학교+병설유치원(8월)'!AI31="",0,'초등학교+병설유치원(8월)'!AI31)</x:f>
        <x:v>21</x:v>
      </x:c>
      <x:c r="F382" s="294" t="n">
        <x:f>IF('초등학교+병설유치원(8월)'!AJ31="",0,'초등학교+병설유치원(8월)'!AJ31)</x:f>
        <x:v>20</x:v>
      </x:c>
      <x:c r="G382" s="294" t="n">
        <x:f>IF('초등학교+병설유치원(8월)'!AK31="",0,'초등학교+병설유치원(8월)'!AK31)</x:f>
        <x:v>0</x:v>
      </x:c>
      <x:c r="H382" s="294" t="n">
        <x:f>IF('초등학교+병설유치원(8월)'!AL31="",0,'초등학교+병설유치원(8월)'!AL31)</x:f>
        <x:v>0</x:v>
      </x:c>
      <x:c r="I382" s="294" t="n">
        <x:f>IF('초등학교+병설유치원(8월)'!AM31="",0,'초등학교+병설유치원(8월)'!AM31)</x:f>
        <x:v>0</x:v>
      </x:c>
      <x:c r="J382" s="296" t="n">
        <x:f>SUM(E382:I382)</x:f>
        <x:v>41</x:v>
      </x:c>
      <x:c r="K382" s="291" t="str">
        <x:v>8월</x:v>
      </x:c>
    </x:row>
    <x:row r="383">
      <x:c r="A383" s="291" t="n">
        <x:f>IF('초등학교+병설유치원(8월)'!A31="","",'초등학교+병설유치원(8월)'!A31)</x:f>
        <x:v>18</x:v>
      </x:c>
      <x:c r="B383" s="291" t="str">
        <x:v>초등학교</x:v>
      </x:c>
      <x:c r="C383" s="291" t="str">
        <x:f>IF('초등학교+병설유치원(8월)'!B31="","",'초등학교+병설유치원(8월)'!B31)</x:f>
        <x:v>이리서초</x:v>
      </x:c>
      <x:c r="D383" s="293" t="n">
        <x:v>46241</x:v>
      </x:c>
      <x:c r="E383" s="294" t="n">
        <x:f>IF('초등학교+병설유치원(8월)'!AO31="",0,'초등학교+병설유치원(8월)'!AO31)</x:f>
        <x:v>21</x:v>
      </x:c>
      <x:c r="F383" s="294" t="n">
        <x:f>IF('초등학교+병설유치원(8월)'!AP31="",0,'초등학교+병설유치원(8월)'!AP31)</x:f>
        <x:v>20</x:v>
      </x:c>
      <x:c r="G383" s="294" t="n">
        <x:f>IF('초등학교+병설유치원(8월)'!AQ31="",0,'초등학교+병설유치원(8월)'!AQ31)</x:f>
        <x:v>0</x:v>
      </x:c>
      <x:c r="H383" s="294" t="n">
        <x:f>IF('초등학교+병설유치원(8월)'!AR31="",0,'초등학교+병설유치원(8월)'!AR31)</x:f>
        <x:v>0</x:v>
      </x:c>
      <x:c r="I383" s="294" t="n">
        <x:f>IF('초등학교+병설유치원(8월)'!AS31="",0,'초등학교+병설유치원(8월)'!AS31)</x:f>
        <x:v>0</x:v>
      </x:c>
      <x:c r="J383" s="296" t="n">
        <x:f>SUM(E383:I383)</x:f>
        <x:v>41</x:v>
      </x:c>
      <x:c r="K383" s="291" t="str">
        <x:v>8월</x:v>
      </x:c>
    </x:row>
    <x:row r="384">
      <x:c r="A384" s="291" t="n">
        <x:f>IF('초등학교+병설유치원(8월)'!A31="","",'초등학교+병설유치원(8월)'!A31)</x:f>
        <x:v>18</x:v>
      </x:c>
      <x:c r="B384" s="291" t="str">
        <x:v>초등학교</x:v>
      </x:c>
      <x:c r="C384" s="291" t="str">
        <x:f>IF('초등학교+병설유치원(8월)'!B31="","",'초등학교+병설유치원(8월)'!B31)</x:f>
        <x:v>이리서초</x:v>
      </x:c>
      <x:c r="D384" s="293" t="n">
        <x:v>46244</x:v>
      </x:c>
      <x:c r="E384" s="294" t="n">
        <x:f>IF('초등학교+병설유치원(8월)'!AU31="",0,'초등학교+병설유치원(8월)'!AU31)</x:f>
        <x:v>21</x:v>
      </x:c>
      <x:c r="F384" s="294" t="n">
        <x:f>IF('초등학교+병설유치원(8월)'!AV31="",0,'초등학교+병설유치원(8월)'!AV31)</x:f>
        <x:v>20</x:v>
      </x:c>
      <x:c r="G384" s="294" t="n">
        <x:f>IF('초등학교+병설유치원(8월)'!AW31="",0,'초등학교+병설유치원(8월)'!AW31)</x:f>
        <x:v>0</x:v>
      </x:c>
      <x:c r="H384" s="294" t="n">
        <x:f>IF('초등학교+병설유치원(8월)'!AX31="",0,'초등학교+병설유치원(8월)'!AX31)</x:f>
        <x:v>0</x:v>
      </x:c>
      <x:c r="I384" s="294" t="n">
        <x:f>IF('초등학교+병설유치원(8월)'!AY31="",0,'초등학교+병설유치원(8월)'!AY31)</x:f>
        <x:v>0</x:v>
      </x:c>
      <x:c r="J384" s="296" t="n">
        <x:f>SUM(E384:I384)</x:f>
        <x:v>41</x:v>
      </x:c>
      <x:c r="K384" s="291" t="str">
        <x:v>8월</x:v>
      </x:c>
    </x:row>
    <x:row r="385">
      <x:c r="A385" s="291" t="n">
        <x:f>IF('초등학교+병설유치원(8월)'!A31="","",'초등학교+병설유치원(8월)'!A31)</x:f>
        <x:v>18</x:v>
      </x:c>
      <x:c r="B385" s="291" t="str">
        <x:v>초등학교</x:v>
      </x:c>
      <x:c r="C385" s="291" t="str">
        <x:f>IF('초등학교+병설유치원(8월)'!B31="","",'초등학교+병설유치원(8월)'!B31)</x:f>
        <x:v>이리서초</x:v>
      </x:c>
      <x:c r="D385" s="293" t="n">
        <x:v>46245</x:v>
      </x:c>
      <x:c r="E385" s="294" t="n">
        <x:f>IF('초등학교+병설유치원(8월)'!BA31="",0,'초등학교+병설유치원(8월)'!BA31)</x:f>
        <x:v>21</x:v>
      </x:c>
      <x:c r="F385" s="294" t="n">
        <x:f>IF('초등학교+병설유치원(8월)'!BB31="",0,'초등학교+병설유치원(8월)'!BB31)</x:f>
        <x:v>20</x:v>
      </x:c>
      <x:c r="G385" s="294" t="n">
        <x:f>IF('초등학교+병설유치원(8월)'!BC31="",0,'초등학교+병설유치원(8월)'!BC31)</x:f>
        <x:v>0</x:v>
      </x:c>
      <x:c r="H385" s="294" t="n">
        <x:f>IF('초등학교+병설유치원(8월)'!BD31="",0,'초등학교+병설유치원(8월)'!BD31)</x:f>
        <x:v>0</x:v>
      </x:c>
      <x:c r="I385" s="294" t="n">
        <x:f>IF('초등학교+병설유치원(8월)'!BE31="",0,'초등학교+병설유치원(8월)'!BE31)</x:f>
        <x:v>0</x:v>
      </x:c>
      <x:c r="J385" s="296" t="n">
        <x:f>SUM(E385:I385)</x:f>
        <x:v>41</x:v>
      </x:c>
      <x:c r="K385" s="291" t="str">
        <x:v>8월</x:v>
      </x:c>
    </x:row>
    <x:row r="386">
      <x:c r="A386" s="291" t="n">
        <x:f>IF('초등학교+병설유치원(8월)'!A31="","",'초등학교+병설유치원(8월)'!A31)</x:f>
        <x:v>18</x:v>
      </x:c>
      <x:c r="B386" s="291" t="str">
        <x:v>초등학교</x:v>
      </x:c>
      <x:c r="C386" s="291" t="str">
        <x:f>IF('초등학교+병설유치원(8월)'!B31="","",'초등학교+병설유치원(8월)'!B31)</x:f>
        <x:v>이리서초</x:v>
      </x:c>
      <x:c r="D386" s="293" t="n">
        <x:v>46246</x:v>
      </x:c>
      <x:c r="E386" s="294" t="n">
        <x:f>IF('초등학교+병설유치원(8월)'!BG31="",0,'초등학교+병설유치원(8월)'!BG31)</x:f>
        <x:v>21</x:v>
      </x:c>
      <x:c r="F386" s="294" t="n">
        <x:f>IF('초등학교+병설유치원(8월)'!BH31="",0,'초등학교+병설유치원(8월)'!BH31)</x:f>
        <x:v>20</x:v>
      </x:c>
      <x:c r="G386" s="294" t="n">
        <x:f>IF('초등학교+병설유치원(8월)'!BI31="",0,'초등학교+병설유치원(8월)'!BI31)</x:f>
        <x:v>0</x:v>
      </x:c>
      <x:c r="H386" s="294" t="n">
        <x:f>IF('초등학교+병설유치원(8월)'!BJ31="",0,'초등학교+병설유치원(8월)'!BJ31)</x:f>
        <x:v>0</x:v>
      </x:c>
      <x:c r="I386" s="294" t="n">
        <x:f>IF('초등학교+병설유치원(8월)'!BK31="",0,'초등학교+병설유치원(8월)'!BK31)</x:f>
        <x:v>0</x:v>
      </x:c>
      <x:c r="J386" s="296" t="n">
        <x:f>SUM(E386:I386)</x:f>
        <x:v>41</x:v>
      </x:c>
      <x:c r="K386" s="291" t="str">
        <x:v>8월</x:v>
      </x:c>
    </x:row>
    <x:row r="387">
      <x:c r="A387" s="291" t="n">
        <x:f>IF('초등학교+병설유치원(8월)'!A31="","",'초등학교+병설유치원(8월)'!A31)</x:f>
        <x:v>18</x:v>
      </x:c>
      <x:c r="B387" s="291" t="str">
        <x:v>초등학교</x:v>
      </x:c>
      <x:c r="C387" s="291" t="str">
        <x:f>IF('초등학교+병설유치원(8월)'!B31="","",'초등학교+병설유치원(8월)'!B31)</x:f>
        <x:v>이리서초</x:v>
      </x:c>
      <x:c r="D387" s="293" t="n">
        <x:v>46247</x:v>
      </x:c>
      <x:c r="E387" s="294" t="n">
        <x:f>IF('초등학교+병설유치원(8월)'!BM31="",0,'초등학교+병설유치원(8월)'!BM31)</x:f>
        <x:v>21</x:v>
      </x:c>
      <x:c r="F387" s="294" t="n">
        <x:f>IF('초등학교+병설유치원(8월)'!BN31="",0,'초등학교+병설유치원(8월)'!BN31)</x:f>
        <x:v>20</x:v>
      </x:c>
      <x:c r="G387" s="294" t="n">
        <x:f>IF('초등학교+병설유치원(8월)'!BO31="",0,'초등학교+병설유치원(8월)'!BO31)</x:f>
        <x:v>0</x:v>
      </x:c>
      <x:c r="H387" s="294" t="n">
        <x:f>IF('초등학교+병설유치원(8월)'!BP31="",0,'초등학교+병설유치원(8월)'!BP31)</x:f>
        <x:v>0</x:v>
      </x:c>
      <x:c r="I387" s="294" t="n">
        <x:f>IF('초등학교+병설유치원(8월)'!BQ31="",0,'초등학교+병설유치원(8월)'!BQ31)</x:f>
        <x:v>0</x:v>
      </x:c>
      <x:c r="J387" s="296" t="n">
        <x:f>SUM(E387:I387)</x:f>
        <x:v>41</x:v>
      </x:c>
      <x:c r="K387" s="291" t="str">
        <x:v>8월</x:v>
      </x:c>
    </x:row>
    <x:row r="388">
      <x:c r="A388" s="291" t="n">
        <x:f>IF('초등학교+병설유치원(8월)'!A31="","",'초등학교+병설유치원(8월)'!A31)</x:f>
        <x:v>18</x:v>
      </x:c>
      <x:c r="B388" s="291" t="str">
        <x:v>초등학교</x:v>
      </x:c>
      <x:c r="C388" s="291" t="str">
        <x:f>IF('초등학교+병설유치원(8월)'!B31="","",'초등학교+병설유치원(8월)'!B31)</x:f>
        <x:v>이리서초</x:v>
      </x:c>
      <x:c r="D388" s="293" t="n">
        <x:v>46248</x:v>
      </x:c>
      <x:c r="E388" s="294" t="n">
        <x:f>IF('초등학교+병설유치원(8월)'!BS31="",0,'초등학교+병설유치원(8월)'!BS31)</x:f>
        <x:v>21</x:v>
      </x:c>
      <x:c r="F388" s="294" t="n">
        <x:f>IF('초등학교+병설유치원(8월)'!BT31="",0,'초등학교+병설유치원(8월)'!BT31)</x:f>
        <x:v>20</x:v>
      </x:c>
      <x:c r="G388" s="294" t="n">
        <x:f>IF('초등학교+병설유치원(8월)'!BU31="",0,'초등학교+병설유치원(8월)'!BU31)</x:f>
        <x:v>0</x:v>
      </x:c>
      <x:c r="H388" s="294" t="n">
        <x:f>IF('초등학교+병설유치원(8월)'!BV31="",0,'초등학교+병설유치원(8월)'!BV31)</x:f>
        <x:v>0</x:v>
      </x:c>
      <x:c r="I388" s="294" t="n">
        <x:f>IF('초등학교+병설유치원(8월)'!BW31="",0,'초등학교+병설유치원(8월)'!BW31)</x:f>
        <x:v>0</x:v>
      </x:c>
      <x:c r="J388" s="296" t="n">
        <x:f>SUM(E388:I388)</x:f>
        <x:v>41</x:v>
      </x:c>
      <x:c r="K388" s="291" t="str">
        <x:v>8월</x:v>
      </x:c>
    </x:row>
    <x:row r="389">
      <x:c r="A389" s="291" t="n">
        <x:f>IF('초등학교+병설유치원(8월)'!A31="","",'초등학교+병설유치원(8월)'!A31)</x:f>
        <x:v>18</x:v>
      </x:c>
      <x:c r="B389" s="291" t="str">
        <x:v>초등학교</x:v>
      </x:c>
      <x:c r="C389" s="291" t="str">
        <x:f>IF('초등학교+병설유치원(8월)'!B31="","",'초등학교+병설유치원(8월)'!B31)</x:f>
        <x:v>이리서초</x:v>
      </x:c>
      <x:c r="D389" s="293" t="n">
        <x:v>46252</x:v>
      </x:c>
      <x:c r="E389" s="294" t="n">
        <x:f>IF('초등학교+병설유치원(8월)'!BY31="",0,'초등학교+병설유치원(8월)'!BY31)</x:f>
        <x:v>21</x:v>
      </x:c>
      <x:c r="F389" s="294" t="n">
        <x:f>IF('초등학교+병설유치원(8월)'!BZ31="",0,'초등학교+병설유치원(8월)'!BZ31)</x:f>
        <x:v>20</x:v>
      </x:c>
      <x:c r="G389" s="294" t="n">
        <x:f>IF('초등학교+병설유치원(8월)'!CA31="",0,'초등학교+병설유치원(8월)'!CA31)</x:f>
        <x:v>0</x:v>
      </x:c>
      <x:c r="H389" s="294" t="n">
        <x:f>IF('초등학교+병설유치원(8월)'!CB31="",0,'초등학교+병설유치원(8월)'!CB31)</x:f>
        <x:v>0</x:v>
      </x:c>
      <x:c r="I389" s="294" t="n">
        <x:f>IF('초등학교+병설유치원(8월)'!CC31="",0,'초등학교+병설유치원(8월)'!CC31)</x:f>
        <x:v>0</x:v>
      </x:c>
      <x:c r="J389" s="296" t="n">
        <x:f>SUM(E389:I389)</x:f>
        <x:v>41</x:v>
      </x:c>
      <x:c r="K389" s="291" t="str">
        <x:v>8월</x:v>
      </x:c>
    </x:row>
    <x:row r="390">
      <x:c r="A390" s="291" t="n">
        <x:f>IF('초등학교+병설유치원(8월)'!A31="","",'초등학교+병설유치원(8월)'!A31)</x:f>
        <x:v>18</x:v>
      </x:c>
      <x:c r="B390" s="291" t="str">
        <x:v>초등학교</x:v>
      </x:c>
      <x:c r="C390" s="291" t="str">
        <x:f>IF('초등학교+병설유치원(8월)'!B31="","",'초등학교+병설유치원(8월)'!B31)</x:f>
        <x:v>이리서초</x:v>
      </x:c>
      <x:c r="D390" s="293" t="n">
        <x:v>46253</x:v>
      </x:c>
      <x:c r="E390" s="294" t="n">
        <x:f>IF('초등학교+병설유치원(8월)'!CE31="",0,'초등학교+병설유치원(8월)'!CE31)</x:f>
        <x:v>21</x:v>
      </x:c>
      <x:c r="F390" s="294" t="n">
        <x:f>IF('초등학교+병설유치원(8월)'!CF31="",0,'초등학교+병설유치원(8월)'!CF31)</x:f>
        <x:v>20</x:v>
      </x:c>
      <x:c r="G390" s="294" t="n">
        <x:f>IF('초등학교+병설유치원(8월)'!CG31="",0,'초등학교+병설유치원(8월)'!CG31)</x:f>
        <x:v>0</x:v>
      </x:c>
      <x:c r="H390" s="294" t="n">
        <x:f>IF('초등학교+병설유치원(8월)'!CH31="",0,'초등학교+병설유치원(8월)'!CH31)</x:f>
        <x:v>0</x:v>
      </x:c>
      <x:c r="I390" s="294" t="n">
        <x:f>IF('초등학교+병설유치원(8월)'!CI31="",0,'초등학교+병설유치원(8월)'!CI31)</x:f>
        <x:v>0</x:v>
      </x:c>
      <x:c r="J390" s="296" t="n">
        <x:f>SUM(E390:I390)</x:f>
        <x:v>41</x:v>
      </x:c>
      <x:c r="K390" s="291" t="str">
        <x:v>8월</x:v>
      </x:c>
    </x:row>
    <x:row r="391">
      <x:c r="A391" s="291" t="n">
        <x:f>IF('초등학교+병설유치원(8월)'!A31="","",'초등학교+병설유치원(8월)'!A31)</x:f>
        <x:v>18</x:v>
      </x:c>
      <x:c r="B391" s="291" t="str">
        <x:v>초등학교</x:v>
      </x:c>
      <x:c r="C391" s="291" t="str">
        <x:f>IF('초등학교+병설유치원(8월)'!B31="","",'초등학교+병설유치원(8월)'!B31)</x:f>
        <x:v>이리서초</x:v>
      </x:c>
      <x:c r="D391" s="293" t="n">
        <x:v>46254</x:v>
      </x:c>
      <x:c r="E391" s="294" t="n">
        <x:f>IF('초등학교+병설유치원(8월)'!CK31="",0,'초등학교+병설유치원(8월)'!CK31)</x:f>
        <x:v>21</x:v>
      </x:c>
      <x:c r="F391" s="294" t="n">
        <x:f>IF('초등학교+병설유치원(8월)'!CL31="",0,'초등학교+병설유치원(8월)'!CL31)</x:f>
        <x:v>20</x:v>
      </x:c>
      <x:c r="G391" s="294" t="n">
        <x:f>IF('초등학교+병설유치원(8월)'!CM31="",0,'초등학교+병설유치원(8월)'!CM31)</x:f>
        <x:v>0</x:v>
      </x:c>
      <x:c r="H391" s="294" t="n">
        <x:f>IF('초등학교+병설유치원(8월)'!CN31="",0,'초등학교+병설유치원(8월)'!CN31)</x:f>
        <x:v>0</x:v>
      </x:c>
      <x:c r="I391" s="294" t="n">
        <x:f>IF('초등학교+병설유치원(8월)'!CO31="",0,'초등학교+병설유치원(8월)'!CO31)</x:f>
        <x:v>0</x:v>
      </x:c>
      <x:c r="J391" s="296" t="n">
        <x:f>SUM(E391:I391)</x:f>
        <x:v>41</x:v>
      </x:c>
      <x:c r="K391" s="291" t="str">
        <x:v>8월</x:v>
      </x:c>
    </x:row>
    <x:row r="392">
      <x:c r="A392" s="291" t="n">
        <x:f>IF('초등학교+병설유치원(8월)'!A31="","",'초등학교+병설유치원(8월)'!A31)</x:f>
        <x:v>18</x:v>
      </x:c>
      <x:c r="B392" s="291" t="str">
        <x:v>초등학교</x:v>
      </x:c>
      <x:c r="C392" s="291" t="str">
        <x:f>IF('초등학교+병설유치원(8월)'!B31="","",'초등학교+병설유치원(8월)'!B31)</x:f>
        <x:v>이리서초</x:v>
      </x:c>
      <x:c r="D392" s="293" t="n">
        <x:v>46255</x:v>
      </x:c>
      <x:c r="E392" s="294" t="n">
        <x:f>IF('초등학교+병설유치원(8월)'!CQ31="",0,'초등학교+병설유치원(8월)'!CQ31)</x:f>
        <x:v>21</x:v>
      </x:c>
      <x:c r="F392" s="294" t="n">
        <x:f>IF('초등학교+병설유치원(8월)'!CR31="",0,'초등학교+병설유치원(8월)'!CR31)</x:f>
        <x:v>20</x:v>
      </x:c>
      <x:c r="G392" s="294" t="n">
        <x:f>IF('초등학교+병설유치원(8월)'!CS31="",0,'초등학교+병설유치원(8월)'!CS31)</x:f>
        <x:v>0</x:v>
      </x:c>
      <x:c r="H392" s="294" t="n">
        <x:f>IF('초등학교+병설유치원(8월)'!CT31="",0,'초등학교+병설유치원(8월)'!CT31)</x:f>
        <x:v>0</x:v>
      </x:c>
      <x:c r="I392" s="294" t="n">
        <x:f>IF('초등학교+병설유치원(8월)'!CU31="",0,'초등학교+병설유치원(8월)'!CU31)</x:f>
        <x:v>0</x:v>
      </x:c>
      <x:c r="J392" s="296" t="n">
        <x:f>SUM(E392:I392)</x:f>
        <x:v>41</x:v>
      </x:c>
      <x:c r="K392" s="291" t="str">
        <x:v>8월</x:v>
      </x:c>
    </x:row>
    <x:row r="393">
      <x:c r="A393" s="291" t="n">
        <x:f>IF('초등학교+병설유치원(8월)'!A31="","",'초등학교+병설유치원(8월)'!A31)</x:f>
        <x:v>18</x:v>
      </x:c>
      <x:c r="B393" s="291" t="str">
        <x:v>초등학교</x:v>
      </x:c>
      <x:c r="C393" s="291" t="str">
        <x:f>IF('초등학교+병설유치원(8월)'!B31="","",'초등학교+병설유치원(8월)'!B31)</x:f>
        <x:v>이리서초</x:v>
      </x:c>
      <x:c r="D393" s="293" t="n">
        <x:v>46258</x:v>
      </x:c>
      <x:c r="E393" s="294" t="n">
        <x:f>IF('초등학교+병설유치원(8월)'!CW31="",0,'초등학교+병설유치원(8월)'!CW31)</x:f>
        <x:v>21</x:v>
      </x:c>
      <x:c r="F393" s="294" t="n">
        <x:f>IF('초등학교+병설유치원(8월)'!CX31="",0,'초등학교+병설유치원(8월)'!CX31)</x:f>
        <x:v>20</x:v>
      </x:c>
      <x:c r="G393" s="294" t="n">
        <x:f>IF('초등학교+병설유치원(8월)'!CY31="",0,'초등학교+병설유치원(8월)'!CY31)</x:f>
        <x:v>0</x:v>
      </x:c>
      <x:c r="H393" s="294" t="n">
        <x:f>IF('초등학교+병설유치원(8월)'!CZ31="",0,'초등학교+병설유치원(8월)'!CZ31)</x:f>
        <x:v>0</x:v>
      </x:c>
      <x:c r="I393" s="294" t="n">
        <x:f>IF('초등학교+병설유치원(8월)'!DA31="",0,'초등학교+병설유치원(8월)'!DA31)</x:f>
        <x:v>0</x:v>
      </x:c>
      <x:c r="J393" s="296" t="n">
        <x:f>SUM(E393:I393)</x:f>
        <x:v>41</x:v>
      </x:c>
      <x:c r="K393" s="291" t="str">
        <x:v>8월</x:v>
      </x:c>
    </x:row>
    <x:row r="394">
      <x:c r="A394" s="291" t="n">
        <x:f>IF('초등학교+병설유치원(8월)'!A31="","",'초등학교+병설유치원(8월)'!A31)</x:f>
        <x:v>18</x:v>
      </x:c>
      <x:c r="B394" s="291" t="str">
        <x:v>초등학교</x:v>
      </x:c>
      <x:c r="C394" s="291" t="str">
        <x:f>IF('초등학교+병설유치원(8월)'!B31="","",'초등학교+병설유치원(8월)'!B31)</x:f>
        <x:v>이리서초</x:v>
      </x:c>
      <x:c r="D394" s="293" t="n">
        <x:v>46259</x:v>
      </x:c>
      <x:c r="E394" s="294" t="n">
        <x:f>IF('초등학교+병설유치원(8월)'!DC31="",0,'초등학교+병설유치원(8월)'!DC31)</x:f>
        <x:v>21</x:v>
      </x:c>
      <x:c r="F394" s="294" t="n">
        <x:f>IF('초등학교+병설유치원(8월)'!DD31="",0,'초등학교+병설유치원(8월)'!DD31)</x:f>
        <x:v>20</x:v>
      </x:c>
      <x:c r="G394" s="294" t="n">
        <x:f>IF('초등학교+병설유치원(8월)'!DE31="",0,'초등학교+병설유치원(8월)'!DE31)</x:f>
        <x:v>0</x:v>
      </x:c>
      <x:c r="H394" s="294" t="n">
        <x:f>IF('초등학교+병설유치원(8월)'!DF31="",0,'초등학교+병설유치원(8월)'!DF31)</x:f>
        <x:v>0</x:v>
      </x:c>
      <x:c r="I394" s="294" t="n">
        <x:f>IF('초등학교+병설유치원(8월)'!DG31="",0,'초등학교+병설유치원(8월)'!DG31)</x:f>
        <x:v>0</x:v>
      </x:c>
      <x:c r="J394" s="296" t="n">
        <x:f>SUM(E394:I394)</x:f>
        <x:v>41</x:v>
      </x:c>
      <x:c r="K394" s="291" t="str">
        <x:v>8월</x:v>
      </x:c>
    </x:row>
    <x:row r="395">
      <x:c r="A395" s="291" t="n">
        <x:f>IF('초등학교+병설유치원(8월)'!A32="","",'초등학교+병설유치원(8월)'!A32)</x:f>
        <x:v>19</x:v>
      </x:c>
      <x:c r="B395" s="291" t="str">
        <x:v>초등학교</x:v>
      </x:c>
      <x:c r="C395" s="291" t="str">
        <x:f>IF('초등학교+병설유치원(8월)'!B32="","",'초등학교+병설유치원(8월)'!B32)</x:f>
        <x:v>이리석암초</x:v>
      </x:c>
      <x:c r="D395" s="293" t="n">
        <x:v>46237</x:v>
      </x:c>
      <x:c r="E395" s="294" t="n">
        <x:f>IF('초등학교+병설유치원(8월)'!Q32="",0,'초등학교+병설유치원(8월)'!Q32)</x:f>
        <x:v>14</x:v>
      </x:c>
      <x:c r="F395" s="294" t="n">
        <x:f>IF('초등학교+병설유치원(8월)'!R32="",0,'초등학교+병설유치원(8월)'!R32)</x:f>
        <x:v>0</x:v>
      </x:c>
      <x:c r="G395" s="294" t="n">
        <x:f>IF('초등학교+병설유치원(8월)'!S32="",0,'초등학교+병설유치원(8월)'!S32)</x:f>
        <x:v>0</x:v>
      </x:c>
      <x:c r="H395" s="294" t="n">
        <x:f>IF('초등학교+병설유치원(8월)'!T32="",0,'초등학교+병설유치원(8월)'!T32)</x:f>
        <x:v>0</x:v>
      </x:c>
      <x:c r="I395" s="294" t="n">
        <x:f>IF('초등학교+병설유치원(8월)'!U32="",0,'초등학교+병설유치원(8월)'!U32)</x:f>
        <x:v>0</x:v>
      </x:c>
      <x:c r="J395" s="296" t="n">
        <x:f>SUM(E395:I395)</x:f>
        <x:v>14</x:v>
      </x:c>
      <x:c r="K395" s="291" t="str">
        <x:v>8월</x:v>
      </x:c>
    </x:row>
    <x:row r="396">
      <x:c r="A396" s="291" t="n">
        <x:f>IF('초등학교+병설유치원(8월)'!A32="","",'초등학교+병설유치원(8월)'!A32)</x:f>
        <x:v>19</x:v>
      </x:c>
      <x:c r="B396" s="291" t="str">
        <x:v>초등학교</x:v>
      </x:c>
      <x:c r="C396" s="291" t="str">
        <x:f>IF('초등학교+병설유치원(8월)'!B32="","",'초등학교+병설유치원(8월)'!B32)</x:f>
        <x:v>이리석암초</x:v>
      </x:c>
      <x:c r="D396" s="293" t="n">
        <x:v>46238</x:v>
      </x:c>
      <x:c r="E396" s="294" t="n">
        <x:f>IF('초등학교+병설유치원(8월)'!W32="",0,'초등학교+병설유치원(8월)'!W32)</x:f>
        <x:v>14</x:v>
      </x:c>
      <x:c r="F396" s="294" t="n">
        <x:f>IF('초등학교+병설유치원(8월)'!X32="",0,'초등학교+병설유치원(8월)'!X32)</x:f>
        <x:v>0</x:v>
      </x:c>
      <x:c r="G396" s="294" t="n">
        <x:f>IF('초등학교+병설유치원(8월)'!Y32="",0,'초등학교+병설유치원(8월)'!Y32)</x:f>
        <x:v>0</x:v>
      </x:c>
      <x:c r="H396" s="294" t="n">
        <x:f>IF('초등학교+병설유치원(8월)'!Z32="",0,'초등학교+병설유치원(8월)'!Z32)</x:f>
        <x:v>0</x:v>
      </x:c>
      <x:c r="I396" s="294" t="n">
        <x:f>IF('초등학교+병설유치원(8월)'!AA32="",0,'초등학교+병설유치원(8월)'!AA32)</x:f>
        <x:v>0</x:v>
      </x:c>
      <x:c r="J396" s="296" t="n">
        <x:f>SUM(E396:I396)</x:f>
        <x:v>14</x:v>
      </x:c>
      <x:c r="K396" s="291" t="str">
        <x:v>8월</x:v>
      </x:c>
    </x:row>
    <x:row r="397">
      <x:c r="A397" s="291" t="n">
        <x:f>IF('초등학교+병설유치원(8월)'!A32="","",'초등학교+병설유치원(8월)'!A32)</x:f>
        <x:v>19</x:v>
      </x:c>
      <x:c r="B397" s="291" t="str">
        <x:v>초등학교</x:v>
      </x:c>
      <x:c r="C397" s="291" t="str">
        <x:f>IF('초등학교+병설유치원(8월)'!B32="","",'초등학교+병설유치원(8월)'!B32)</x:f>
        <x:v>이리석암초</x:v>
      </x:c>
      <x:c r="D397" s="293" t="n">
        <x:v>46239</x:v>
      </x:c>
      <x:c r="E397" s="294" t="n">
        <x:f>IF('초등학교+병설유치원(8월)'!AC32="",0,'초등학교+병설유치원(8월)'!AC32)</x:f>
        <x:v>14</x:v>
      </x:c>
      <x:c r="F397" s="294" t="n">
        <x:f>IF('초등학교+병설유치원(8월)'!AD32="",0,'초등학교+병설유치원(8월)'!AD32)</x:f>
        <x:v>0</x:v>
      </x:c>
      <x:c r="G397" s="294" t="n">
        <x:f>IF('초등학교+병설유치원(8월)'!AE32="",0,'초등학교+병설유치원(8월)'!AE32)</x:f>
        <x:v>0</x:v>
      </x:c>
      <x:c r="H397" s="294" t="n">
        <x:f>IF('초등학교+병설유치원(8월)'!AF32="",0,'초등학교+병설유치원(8월)'!AF32)</x:f>
        <x:v>0</x:v>
      </x:c>
      <x:c r="I397" s="294" t="n">
        <x:f>IF('초등학교+병설유치원(8월)'!AG32="",0,'초등학교+병설유치원(8월)'!AG32)</x:f>
        <x:v>0</x:v>
      </x:c>
      <x:c r="J397" s="296" t="n">
        <x:f>SUM(E397:I397)</x:f>
        <x:v>14</x:v>
      </x:c>
      <x:c r="K397" s="291" t="str">
        <x:v>8월</x:v>
      </x:c>
    </x:row>
    <x:row r="398">
      <x:c r="A398" s="291" t="n">
        <x:f>IF('초등학교+병설유치원(8월)'!A32="","",'초등학교+병설유치원(8월)'!A32)</x:f>
        <x:v>19</x:v>
      </x:c>
      <x:c r="B398" s="291" t="str">
        <x:v>초등학교</x:v>
      </x:c>
      <x:c r="C398" s="291" t="str">
        <x:f>IF('초등학교+병설유치원(8월)'!B32="","",'초등학교+병설유치원(8월)'!B32)</x:f>
        <x:v>이리석암초</x:v>
      </x:c>
      <x:c r="D398" s="293" t="n">
        <x:v>46240</x:v>
      </x:c>
      <x:c r="E398" s="294" t="n">
        <x:f>IF('초등학교+병설유치원(8월)'!AI32="",0,'초등학교+병설유치원(8월)'!AI32)</x:f>
        <x:v>14</x:v>
      </x:c>
      <x:c r="F398" s="294" t="n">
        <x:f>IF('초등학교+병설유치원(8월)'!AJ32="",0,'초등학교+병설유치원(8월)'!AJ32)</x:f>
        <x:v>0</x:v>
      </x:c>
      <x:c r="G398" s="294" t="n">
        <x:f>IF('초등학교+병설유치원(8월)'!AK32="",0,'초등학교+병설유치원(8월)'!AK32)</x:f>
        <x:v>0</x:v>
      </x:c>
      <x:c r="H398" s="294" t="n">
        <x:f>IF('초등학교+병설유치원(8월)'!AL32="",0,'초등학교+병설유치원(8월)'!AL32)</x:f>
        <x:v>0</x:v>
      </x:c>
      <x:c r="I398" s="294" t="n">
        <x:f>IF('초등학교+병설유치원(8월)'!AM32="",0,'초등학교+병설유치원(8월)'!AM32)</x:f>
        <x:v>0</x:v>
      </x:c>
      <x:c r="J398" s="296" t="n">
        <x:f>SUM(E398:I398)</x:f>
        <x:v>14</x:v>
      </x:c>
      <x:c r="K398" s="291" t="str">
        <x:v>8월</x:v>
      </x:c>
    </x:row>
    <x:row r="399">
      <x:c r="A399" s="291" t="n">
        <x:f>IF('초등학교+병설유치원(8월)'!A32="","",'초등학교+병설유치원(8월)'!A32)</x:f>
        <x:v>19</x:v>
      </x:c>
      <x:c r="B399" s="291" t="str">
        <x:v>초등학교</x:v>
      </x:c>
      <x:c r="C399" s="291" t="str">
        <x:f>IF('초등학교+병설유치원(8월)'!B32="","",'초등학교+병설유치원(8월)'!B32)</x:f>
        <x:v>이리석암초</x:v>
      </x:c>
      <x:c r="D399" s="293" t="n">
        <x:v>46241</x:v>
      </x:c>
      <x:c r="E399" s="294" t="n">
        <x:f>IF('초등학교+병설유치원(8월)'!AO32="",0,'초등학교+병설유치원(8월)'!AO32)</x:f>
        <x:v>14</x:v>
      </x:c>
      <x:c r="F399" s="294" t="n">
        <x:f>IF('초등학교+병설유치원(8월)'!AP32="",0,'초등학교+병설유치원(8월)'!AP32)</x:f>
        <x:v>0</x:v>
      </x:c>
      <x:c r="G399" s="294" t="n">
        <x:f>IF('초등학교+병설유치원(8월)'!AQ32="",0,'초등학교+병설유치원(8월)'!AQ32)</x:f>
        <x:v>0</x:v>
      </x:c>
      <x:c r="H399" s="294" t="n">
        <x:f>IF('초등학교+병설유치원(8월)'!AR32="",0,'초등학교+병설유치원(8월)'!AR32)</x:f>
        <x:v>0</x:v>
      </x:c>
      <x:c r="I399" s="294" t="n">
        <x:f>IF('초등학교+병설유치원(8월)'!AS32="",0,'초등학교+병설유치원(8월)'!AS32)</x:f>
        <x:v>0</x:v>
      </x:c>
      <x:c r="J399" s="296" t="n">
        <x:f>SUM(E399:I399)</x:f>
        <x:v>14</x:v>
      </x:c>
      <x:c r="K399" s="291" t="str">
        <x:v>8월</x:v>
      </x:c>
    </x:row>
    <x:row r="400">
      <x:c r="A400" s="291" t="n">
        <x:f>IF('초등학교+병설유치원(8월)'!A32="","",'초등학교+병설유치원(8월)'!A32)</x:f>
        <x:v>19</x:v>
      </x:c>
      <x:c r="B400" s="291" t="str">
        <x:v>초등학교</x:v>
      </x:c>
      <x:c r="C400" s="291" t="str">
        <x:f>IF('초등학교+병설유치원(8월)'!B32="","",'초등학교+병설유치원(8월)'!B32)</x:f>
        <x:v>이리석암초</x:v>
      </x:c>
      <x:c r="D400" s="293" t="n">
        <x:v>46244</x:v>
      </x:c>
      <x:c r="E400" s="294" t="n">
        <x:f>IF('초등학교+병설유치원(8월)'!AU32="",0,'초등학교+병설유치원(8월)'!AU32)</x:f>
        <x:v>14</x:v>
      </x:c>
      <x:c r="F400" s="294" t="n">
        <x:f>IF('초등학교+병설유치원(8월)'!AV32="",0,'초등학교+병설유치원(8월)'!AV32)</x:f>
        <x:v>0</x:v>
      </x:c>
      <x:c r="G400" s="294" t="n">
        <x:f>IF('초등학교+병설유치원(8월)'!AW32="",0,'초등학교+병설유치원(8월)'!AW32)</x:f>
        <x:v>0</x:v>
      </x:c>
      <x:c r="H400" s="294" t="n">
        <x:f>IF('초등학교+병설유치원(8월)'!AX32="",0,'초등학교+병설유치원(8월)'!AX32)</x:f>
        <x:v>0</x:v>
      </x:c>
      <x:c r="I400" s="294" t="n">
        <x:f>IF('초등학교+병설유치원(8월)'!AY32="",0,'초등학교+병설유치원(8월)'!AY32)</x:f>
        <x:v>0</x:v>
      </x:c>
      <x:c r="J400" s="296" t="n">
        <x:f>SUM(E400:I400)</x:f>
        <x:v>14</x:v>
      </x:c>
      <x:c r="K400" s="291" t="str">
        <x:v>8월</x:v>
      </x:c>
    </x:row>
    <x:row r="401">
      <x:c r="A401" s="291" t="n">
        <x:f>IF('초등학교+병설유치원(8월)'!A32="","",'초등학교+병설유치원(8월)'!A32)</x:f>
        <x:v>19</x:v>
      </x:c>
      <x:c r="B401" s="291" t="str">
        <x:v>초등학교</x:v>
      </x:c>
      <x:c r="C401" s="291" t="str">
        <x:f>IF('초등학교+병설유치원(8월)'!B32="","",'초등학교+병설유치원(8월)'!B32)</x:f>
        <x:v>이리석암초</x:v>
      </x:c>
      <x:c r="D401" s="293" t="n">
        <x:v>46245</x:v>
      </x:c>
      <x:c r="E401" s="294" t="n">
        <x:f>IF('초등학교+병설유치원(8월)'!BA32="",0,'초등학교+병설유치원(8월)'!BA32)</x:f>
        <x:v>14</x:v>
      </x:c>
      <x:c r="F401" s="294" t="n">
        <x:f>IF('초등학교+병설유치원(8월)'!BB32="",0,'초등학교+병설유치원(8월)'!BB32)</x:f>
        <x:v>0</x:v>
      </x:c>
      <x:c r="G401" s="294" t="n">
        <x:f>IF('초등학교+병설유치원(8월)'!BC32="",0,'초등학교+병설유치원(8월)'!BC32)</x:f>
        <x:v>0</x:v>
      </x:c>
      <x:c r="H401" s="294" t="n">
        <x:f>IF('초등학교+병설유치원(8월)'!BD32="",0,'초등학교+병설유치원(8월)'!BD32)</x:f>
        <x:v>0</x:v>
      </x:c>
      <x:c r="I401" s="294" t="n">
        <x:f>IF('초등학교+병설유치원(8월)'!BE32="",0,'초등학교+병설유치원(8월)'!BE32)</x:f>
        <x:v>0</x:v>
      </x:c>
      <x:c r="J401" s="296" t="n">
        <x:f>SUM(E401:I401)</x:f>
        <x:v>14</x:v>
      </x:c>
      <x:c r="K401" s="291" t="str">
        <x:v>8월</x:v>
      </x:c>
    </x:row>
    <x:row r="402">
      <x:c r="A402" s="291" t="n">
        <x:f>IF('초등학교+병설유치원(8월)'!A32="","",'초등학교+병설유치원(8월)'!A32)</x:f>
        <x:v>19</x:v>
      </x:c>
      <x:c r="B402" s="291" t="str">
        <x:v>초등학교</x:v>
      </x:c>
      <x:c r="C402" s="291" t="str">
        <x:f>IF('초등학교+병설유치원(8월)'!B32="","",'초등학교+병설유치원(8월)'!B32)</x:f>
        <x:v>이리석암초</x:v>
      </x:c>
      <x:c r="D402" s="293" t="n">
        <x:v>46247</x:v>
      </x:c>
      <x:c r="E402" s="294" t="n">
        <x:f>IF('초등학교+병설유치원(8월)'!BM32="",0,'초등학교+병설유치원(8월)'!BM32)</x:f>
        <x:v>14</x:v>
      </x:c>
      <x:c r="F402" s="294" t="n">
        <x:f>IF('초등학교+병설유치원(8월)'!BN32="",0,'초등학교+병설유치원(8월)'!BN32)</x:f>
        <x:v>0</x:v>
      </x:c>
      <x:c r="G402" s="294" t="n">
        <x:f>IF('초등학교+병설유치원(8월)'!BO32="",0,'초등학교+병설유치원(8월)'!BO32)</x:f>
        <x:v>0</x:v>
      </x:c>
      <x:c r="H402" s="294" t="n">
        <x:f>IF('초등학교+병설유치원(8월)'!BP32="",0,'초등학교+병설유치원(8월)'!BP32)</x:f>
        <x:v>0</x:v>
      </x:c>
      <x:c r="I402" s="294" t="n">
        <x:f>IF('초등학교+병설유치원(8월)'!BQ32="",0,'초등학교+병설유치원(8월)'!BQ32)</x:f>
        <x:v>0</x:v>
      </x:c>
      <x:c r="J402" s="296" t="n">
        <x:f>SUM(E402:I402)</x:f>
        <x:v>14</x:v>
      </x:c>
      <x:c r="K402" s="291" t="str">
        <x:v>8월</x:v>
      </x:c>
    </x:row>
    <x:row r="403">
      <x:c r="A403" s="291" t="n">
        <x:f>IF('초등학교+병설유치원(8월)'!A32="","",'초등학교+병설유치원(8월)'!A32)</x:f>
        <x:v>19</x:v>
      </x:c>
      <x:c r="B403" s="291" t="str">
        <x:v>초등학교</x:v>
      </x:c>
      <x:c r="C403" s="291" t="str">
        <x:f>IF('초등학교+병설유치원(8월)'!B32="","",'초등학교+병설유치원(8월)'!B32)</x:f>
        <x:v>이리석암초</x:v>
      </x:c>
      <x:c r="D403" s="293" t="n">
        <x:v>46248</x:v>
      </x:c>
      <x:c r="E403" s="294" t="n">
        <x:f>IF('초등학교+병설유치원(8월)'!BS32="",0,'초등학교+병설유치원(8월)'!BS32)</x:f>
        <x:v>14</x:v>
      </x:c>
      <x:c r="F403" s="294" t="n">
        <x:f>IF('초등학교+병설유치원(8월)'!BT32="",0,'초등학교+병설유치원(8월)'!BT32)</x:f>
        <x:v>0</x:v>
      </x:c>
      <x:c r="G403" s="294" t="n">
        <x:f>IF('초등학교+병설유치원(8월)'!BU32="",0,'초등학교+병설유치원(8월)'!BU32)</x:f>
        <x:v>0</x:v>
      </x:c>
      <x:c r="H403" s="294" t="n">
        <x:f>IF('초등학교+병설유치원(8월)'!BV32="",0,'초등학교+병설유치원(8월)'!BV32)</x:f>
        <x:v>0</x:v>
      </x:c>
      <x:c r="I403" s="294" t="n">
        <x:f>IF('초등학교+병설유치원(8월)'!BW32="",0,'초등학교+병설유치원(8월)'!BW32)</x:f>
        <x:v>0</x:v>
      </x:c>
      <x:c r="J403" s="296" t="n">
        <x:f>SUM(E403:I403)</x:f>
        <x:v>14</x:v>
      </x:c>
      <x:c r="K403" s="291" t="str">
        <x:v>8월</x:v>
      </x:c>
    </x:row>
    <x:row r="404">
      <x:c r="A404" s="291" t="n">
        <x:f>IF('초등학교+병설유치원(8월)'!A32="","",'초등학교+병설유치원(8월)'!A32)</x:f>
        <x:v>19</x:v>
      </x:c>
      <x:c r="B404" s="291" t="str">
        <x:v>초등학교</x:v>
      </x:c>
      <x:c r="C404" s="291" t="str">
        <x:f>IF('초등학교+병설유치원(8월)'!B32="","",'초등학교+병설유치원(8월)'!B32)</x:f>
        <x:v>이리석암초</x:v>
      </x:c>
      <x:c r="D404" s="293" t="n">
        <x:v>46252</x:v>
      </x:c>
      <x:c r="E404" s="294" t="n">
        <x:f>IF('초등학교+병설유치원(8월)'!BY32="",0,'초등학교+병설유치원(8월)'!BY32)</x:f>
        <x:v>14</x:v>
      </x:c>
      <x:c r="F404" s="294" t="n">
        <x:f>IF('초등학교+병설유치원(8월)'!BZ32="",0,'초등학교+병설유치원(8월)'!BZ32)</x:f>
        <x:v>0</x:v>
      </x:c>
      <x:c r="G404" s="294" t="n">
        <x:f>IF('초등학교+병설유치원(8월)'!CA32="",0,'초등학교+병설유치원(8월)'!CA32)</x:f>
        <x:v>0</x:v>
      </x:c>
      <x:c r="H404" s="294" t="n">
        <x:f>IF('초등학교+병설유치원(8월)'!CB32="",0,'초등학교+병설유치원(8월)'!CB32)</x:f>
        <x:v>0</x:v>
      </x:c>
      <x:c r="I404" s="294" t="n">
        <x:f>IF('초등학교+병설유치원(8월)'!CC32="",0,'초등학교+병설유치원(8월)'!CC32)</x:f>
        <x:v>0</x:v>
      </x:c>
      <x:c r="J404" s="296" t="n">
        <x:f>SUM(E404:I404)</x:f>
        <x:v>14</x:v>
      </x:c>
      <x:c r="K404" s="291" t="str">
        <x:v>8월</x:v>
      </x:c>
    </x:row>
    <x:row r="405">
      <x:c r="A405" s="291" t="n">
        <x:f>IF('초등학교+병설유치원(8월)'!A32="","",'초등학교+병설유치원(8월)'!A32)</x:f>
        <x:v>19</x:v>
      </x:c>
      <x:c r="B405" s="291" t="str">
        <x:v>초등학교</x:v>
      </x:c>
      <x:c r="C405" s="291" t="str">
        <x:f>IF('초등학교+병설유치원(8월)'!B32="","",'초등학교+병설유치원(8월)'!B32)</x:f>
        <x:v>이리석암초</x:v>
      </x:c>
      <x:c r="D405" s="293" t="n">
        <x:v>46253</x:v>
      </x:c>
      <x:c r="E405" s="294" t="n">
        <x:f>IF('초등학교+병설유치원(8월)'!CE32="",0,'초등학교+병설유치원(8월)'!CE32)</x:f>
        <x:v>14</x:v>
      </x:c>
      <x:c r="F405" s="294" t="n">
        <x:f>IF('초등학교+병설유치원(8월)'!CF32="",0,'초등학교+병설유치원(8월)'!CF32)</x:f>
        <x:v>0</x:v>
      </x:c>
      <x:c r="G405" s="294" t="n">
        <x:f>IF('초등학교+병설유치원(8월)'!CG32="",0,'초등학교+병설유치원(8월)'!CG32)</x:f>
        <x:v>0</x:v>
      </x:c>
      <x:c r="H405" s="294" t="n">
        <x:f>IF('초등학교+병설유치원(8월)'!CH32="",0,'초등학교+병설유치원(8월)'!CH32)</x:f>
        <x:v>0</x:v>
      </x:c>
      <x:c r="I405" s="294" t="n">
        <x:f>IF('초등학교+병설유치원(8월)'!CI32="",0,'초등학교+병설유치원(8월)'!CI32)</x:f>
        <x:v>0</x:v>
      </x:c>
      <x:c r="J405" s="296" t="n">
        <x:f>SUM(E405:I405)</x:f>
        <x:v>14</x:v>
      </x:c>
      <x:c r="K405" s="291" t="str">
        <x:v>8월</x:v>
      </x:c>
    </x:row>
    <x:row r="406">
      <x:c r="A406" s="291" t="n">
        <x:f>IF('초등학교+병설유치원(8월)'!A32="","",'초등학교+병설유치원(8월)'!A32)</x:f>
        <x:v>19</x:v>
      </x:c>
      <x:c r="B406" s="291" t="str">
        <x:v>초등학교</x:v>
      </x:c>
      <x:c r="C406" s="291" t="str">
        <x:f>IF('초등학교+병설유치원(8월)'!B32="","",'초등학교+병설유치원(8월)'!B32)</x:f>
        <x:v>이리석암초</x:v>
      </x:c>
      <x:c r="D406" s="293" t="n">
        <x:v>46254</x:v>
      </x:c>
      <x:c r="E406" s="294" t="n">
        <x:f>IF('초등학교+병설유치원(8월)'!CK32="",0,'초등학교+병설유치원(8월)'!CK32)</x:f>
        <x:v>14</x:v>
      </x:c>
      <x:c r="F406" s="294" t="n">
        <x:f>IF('초등학교+병설유치원(8월)'!CL32="",0,'초등학교+병설유치원(8월)'!CL32)</x:f>
        <x:v>0</x:v>
      </x:c>
      <x:c r="G406" s="294" t="n">
        <x:f>IF('초등학교+병설유치원(8월)'!CM32="",0,'초등학교+병설유치원(8월)'!CM32)</x:f>
        <x:v>0</x:v>
      </x:c>
      <x:c r="H406" s="294" t="n">
        <x:f>IF('초등학교+병설유치원(8월)'!CN32="",0,'초등학교+병설유치원(8월)'!CN32)</x:f>
        <x:v>0</x:v>
      </x:c>
      <x:c r="I406" s="294" t="n">
        <x:f>IF('초등학교+병설유치원(8월)'!CO32="",0,'초등학교+병설유치원(8월)'!CO32)</x:f>
        <x:v>0</x:v>
      </x:c>
      <x:c r="J406" s="296" t="n">
        <x:f>SUM(E406:I406)</x:f>
        <x:v>14</x:v>
      </x:c>
      <x:c r="K406" s="291" t="str">
        <x:v>8월</x:v>
      </x:c>
    </x:row>
    <x:row r="407">
      <x:c r="A407" s="291" t="n">
        <x:f>IF('초등학교+병설유치원(8월)'!A33="","",'초등학교+병설유치원(8월)'!A33)</x:f>
        <x:v>20</x:v>
      </x:c>
      <x:c r="B407" s="291" t="str">
        <x:v>초등학교</x:v>
      </x:c>
      <x:c r="C407" s="291" t="str">
        <x:f>IF('초등학교+병설유치원(8월)'!B33="","",'초등학교+병설유치원(8월)'!B33)</x:f>
        <x:v>이리송학초</x:v>
      </x:c>
      <x:c r="D407" s="293" t="n">
        <x:v>46237</x:v>
      </x:c>
      <x:c r="E407" s="294" t="n">
        <x:f>IF('초등학교+병설유치원(8월)'!Q33="",0,'초등학교+병설유치원(8월)'!Q33)</x:f>
        <x:v>19</x:v>
      </x:c>
      <x:c r="F407" s="294" t="n">
        <x:f>IF('초등학교+병설유치원(8월)'!R33="",0,'초등학교+병설유치원(8월)'!R33)</x:f>
        <x:v>18</x:v>
      </x:c>
      <x:c r="G407" s="294" t="n">
        <x:f>IF('초등학교+병설유치원(8월)'!S33="",0,'초등학교+병설유치원(8월)'!S33)</x:f>
        <x:v>18</x:v>
      </x:c>
      <x:c r="H407" s="294" t="n">
        <x:f>IF('초등학교+병설유치원(8월)'!T33="",0,'초등학교+병설유치원(8월)'!T33)</x:f>
        <x:v>0</x:v>
      </x:c>
      <x:c r="I407" s="294" t="n">
        <x:f>IF('초등학교+병설유치원(8월)'!U33="",0,'초등학교+병설유치원(8월)'!U33)</x:f>
        <x:v>0</x:v>
      </x:c>
      <x:c r="J407" s="296" t="n">
        <x:f>SUM(E407:I407)</x:f>
        <x:v>55</x:v>
      </x:c>
      <x:c r="K407" s="291" t="str">
        <x:v>8월</x:v>
      </x:c>
    </x:row>
    <x:row r="408">
      <x:c r="A408" s="291" t="n">
        <x:f>IF('초등학교+병설유치원(8월)'!A33="","",'초등학교+병설유치원(8월)'!A33)</x:f>
        <x:v>20</x:v>
      </x:c>
      <x:c r="B408" s="291" t="str">
        <x:v>초등학교</x:v>
      </x:c>
      <x:c r="C408" s="291" t="str">
        <x:f>IF('초등학교+병설유치원(8월)'!B33="","",'초등학교+병설유치원(8월)'!B33)</x:f>
        <x:v>이리송학초</x:v>
      </x:c>
      <x:c r="D408" s="293" t="n">
        <x:v>46238</x:v>
      </x:c>
      <x:c r="E408" s="294" t="n">
        <x:f>IF('초등학교+병설유치원(8월)'!W33="",0,'초등학교+병설유치원(8월)'!W33)</x:f>
        <x:v>19</x:v>
      </x:c>
      <x:c r="F408" s="294" t="n">
        <x:f>IF('초등학교+병설유치원(8월)'!X33="",0,'초등학교+병설유치원(8월)'!X33)</x:f>
        <x:v>18</x:v>
      </x:c>
      <x:c r="G408" s="294" t="n">
        <x:f>IF('초등학교+병설유치원(8월)'!Y33="",0,'초등학교+병설유치원(8월)'!Y33)</x:f>
        <x:v>18</x:v>
      </x:c>
      <x:c r="H408" s="294" t="n">
        <x:f>IF('초등학교+병설유치원(8월)'!Z33="",0,'초등학교+병설유치원(8월)'!Z33)</x:f>
        <x:v>0</x:v>
      </x:c>
      <x:c r="I408" s="294" t="n">
        <x:f>IF('초등학교+병설유치원(8월)'!AA33="",0,'초등학교+병설유치원(8월)'!AA33)</x:f>
        <x:v>0</x:v>
      </x:c>
      <x:c r="J408" s="296" t="n">
        <x:f>SUM(E408:I408)</x:f>
        <x:v>55</x:v>
      </x:c>
      <x:c r="K408" s="291" t="str">
        <x:v>8월</x:v>
      </x:c>
    </x:row>
    <x:row r="409">
      <x:c r="A409" s="291" t="n">
        <x:f>IF('초등학교+병설유치원(8월)'!A33="","",'초등학교+병설유치원(8월)'!A33)</x:f>
        <x:v>20</x:v>
      </x:c>
      <x:c r="B409" s="291" t="str">
        <x:v>초등학교</x:v>
      </x:c>
      <x:c r="C409" s="291" t="str">
        <x:f>IF('초등학교+병설유치원(8월)'!B33="","",'초등학교+병설유치원(8월)'!B33)</x:f>
        <x:v>이리송학초</x:v>
      </x:c>
      <x:c r="D409" s="293" t="n">
        <x:v>46239</x:v>
      </x:c>
      <x:c r="E409" s="294" t="n">
        <x:f>IF('초등학교+병설유치원(8월)'!AC33="",0,'초등학교+병설유치원(8월)'!AC33)</x:f>
        <x:v>19</x:v>
      </x:c>
      <x:c r="F409" s="294" t="n">
        <x:f>IF('초등학교+병설유치원(8월)'!AD33="",0,'초등학교+병설유치원(8월)'!AD33)</x:f>
        <x:v>18</x:v>
      </x:c>
      <x:c r="G409" s="294" t="n">
        <x:f>IF('초등학교+병설유치원(8월)'!AE33="",0,'초등학교+병설유치원(8월)'!AE33)</x:f>
        <x:v>18</x:v>
      </x:c>
      <x:c r="H409" s="294" t="n">
        <x:f>IF('초등학교+병설유치원(8월)'!AF33="",0,'초등학교+병설유치원(8월)'!AF33)</x:f>
        <x:v>0</x:v>
      </x:c>
      <x:c r="I409" s="294" t="n">
        <x:f>IF('초등학교+병설유치원(8월)'!AG33="",0,'초등학교+병설유치원(8월)'!AG33)</x:f>
        <x:v>0</x:v>
      </x:c>
      <x:c r="J409" s="296" t="n">
        <x:f>SUM(E409:I409)</x:f>
        <x:v>55</x:v>
      </x:c>
      <x:c r="K409" s="291" t="str">
        <x:v>8월</x:v>
      </x:c>
    </x:row>
    <x:row r="410">
      <x:c r="A410" s="291" t="n">
        <x:f>IF('초등학교+병설유치원(8월)'!A33="","",'초등학교+병설유치원(8월)'!A33)</x:f>
        <x:v>20</x:v>
      </x:c>
      <x:c r="B410" s="291" t="str">
        <x:v>초등학교</x:v>
      </x:c>
      <x:c r="C410" s="291" t="str">
        <x:f>IF('초등학교+병설유치원(8월)'!B33="","",'초등학교+병설유치원(8월)'!B33)</x:f>
        <x:v>이리송학초</x:v>
      </x:c>
      <x:c r="D410" s="293" t="n">
        <x:v>46240</x:v>
      </x:c>
      <x:c r="E410" s="294" t="n">
        <x:f>IF('초등학교+병설유치원(8월)'!AI33="",0,'초등학교+병설유치원(8월)'!AI33)</x:f>
        <x:v>19</x:v>
      </x:c>
      <x:c r="F410" s="294" t="n">
        <x:f>IF('초등학교+병설유치원(8월)'!AJ33="",0,'초등학교+병설유치원(8월)'!AJ33)</x:f>
        <x:v>18</x:v>
      </x:c>
      <x:c r="G410" s="294" t="n">
        <x:f>IF('초등학교+병설유치원(8월)'!AK33="",0,'초등학교+병설유치원(8월)'!AK33)</x:f>
        <x:v>18</x:v>
      </x:c>
      <x:c r="H410" s="294" t="n">
        <x:f>IF('초등학교+병설유치원(8월)'!AL33="",0,'초등학교+병설유치원(8월)'!AL33)</x:f>
        <x:v>0</x:v>
      </x:c>
      <x:c r="I410" s="294" t="n">
        <x:f>IF('초등학교+병설유치원(8월)'!AM33="",0,'초등학교+병설유치원(8월)'!AM33)</x:f>
        <x:v>0</x:v>
      </x:c>
      <x:c r="J410" s="296" t="n">
        <x:f>SUM(E410:I410)</x:f>
        <x:v>55</x:v>
      </x:c>
      <x:c r="K410" s="291" t="str">
        <x:v>8월</x:v>
      </x:c>
    </x:row>
    <x:row r="411">
      <x:c r="A411" s="291" t="n">
        <x:f>IF('초등학교+병설유치원(8월)'!A33="","",'초등학교+병설유치원(8월)'!A33)</x:f>
        <x:v>20</x:v>
      </x:c>
      <x:c r="B411" s="291" t="str">
        <x:v>초등학교</x:v>
      </x:c>
      <x:c r="C411" s="291" t="str">
        <x:f>IF('초등학교+병설유치원(8월)'!B33="","",'초등학교+병설유치원(8월)'!B33)</x:f>
        <x:v>이리송학초</x:v>
      </x:c>
      <x:c r="D411" s="293" t="n">
        <x:v>46241</x:v>
      </x:c>
      <x:c r="E411" s="294" t="n">
        <x:f>IF('초등학교+병설유치원(8월)'!AO33="",0,'초등학교+병설유치원(8월)'!AO33)</x:f>
        <x:v>19</x:v>
      </x:c>
      <x:c r="F411" s="294" t="n">
        <x:f>IF('초등학교+병설유치원(8월)'!AP33="",0,'초등학교+병설유치원(8월)'!AP33)</x:f>
        <x:v>18</x:v>
      </x:c>
      <x:c r="G411" s="294" t="n">
        <x:f>IF('초등학교+병설유치원(8월)'!AQ33="",0,'초등학교+병설유치원(8월)'!AQ33)</x:f>
        <x:v>18</x:v>
      </x:c>
      <x:c r="H411" s="294" t="n">
        <x:f>IF('초등학교+병설유치원(8월)'!AR33="",0,'초등학교+병설유치원(8월)'!AR33)</x:f>
        <x:v>0</x:v>
      </x:c>
      <x:c r="I411" s="294" t="n">
        <x:f>IF('초등학교+병설유치원(8월)'!AS33="",0,'초등학교+병설유치원(8월)'!AS33)</x:f>
        <x:v>0</x:v>
      </x:c>
      <x:c r="J411" s="296" t="n">
        <x:f>SUM(E411:I411)</x:f>
        <x:v>55</x:v>
      </x:c>
      <x:c r="K411" s="291" t="str">
        <x:v>8월</x:v>
      </x:c>
    </x:row>
    <x:row r="412">
      <x:c r="A412" s="291" t="n">
        <x:f>IF('초등학교+병설유치원(8월)'!A33="","",'초등학교+병설유치원(8월)'!A33)</x:f>
        <x:v>20</x:v>
      </x:c>
      <x:c r="B412" s="291" t="str">
        <x:v>초등학교</x:v>
      </x:c>
      <x:c r="C412" s="291" t="str">
        <x:f>IF('초등학교+병설유치원(8월)'!B33="","",'초등학교+병설유치원(8월)'!B33)</x:f>
        <x:v>이리송학초</x:v>
      </x:c>
      <x:c r="D412" s="293" t="n">
        <x:v>46244</x:v>
      </x:c>
      <x:c r="E412" s="294" t="n">
        <x:f>IF('초등학교+병설유치원(8월)'!AU33="",0,'초등학교+병설유치원(8월)'!AU33)</x:f>
        <x:v>19</x:v>
      </x:c>
      <x:c r="F412" s="294" t="n">
        <x:f>IF('초등학교+병설유치원(8월)'!AV33="",0,'초등학교+병설유치원(8월)'!AV33)</x:f>
        <x:v>18</x:v>
      </x:c>
      <x:c r="G412" s="294" t="n">
        <x:f>IF('초등학교+병설유치원(8월)'!AW33="",0,'초등학교+병설유치원(8월)'!AW33)</x:f>
        <x:v>18</x:v>
      </x:c>
      <x:c r="H412" s="294" t="n">
        <x:f>IF('초등학교+병설유치원(8월)'!AX33="",0,'초등학교+병설유치원(8월)'!AX33)</x:f>
        <x:v>0</x:v>
      </x:c>
      <x:c r="I412" s="294" t="n">
        <x:f>IF('초등학교+병설유치원(8월)'!AY33="",0,'초등학교+병설유치원(8월)'!AY33)</x:f>
        <x:v>0</x:v>
      </x:c>
      <x:c r="J412" s="296" t="n">
        <x:f>SUM(E412:I412)</x:f>
        <x:v>55</x:v>
      </x:c>
      <x:c r="K412" s="291" t="str">
        <x:v>8월</x:v>
      </x:c>
    </x:row>
    <x:row r="413">
      <x:c r="A413" s="291" t="n">
        <x:f>IF('초등학교+병설유치원(8월)'!A33="","",'초등학교+병설유치원(8월)'!A33)</x:f>
        <x:v>20</x:v>
      </x:c>
      <x:c r="B413" s="291" t="str">
        <x:v>초등학교</x:v>
      </x:c>
      <x:c r="C413" s="291" t="str">
        <x:f>IF('초등학교+병설유치원(8월)'!B33="","",'초등학교+병설유치원(8월)'!B33)</x:f>
        <x:v>이리송학초</x:v>
      </x:c>
      <x:c r="D413" s="293" t="n">
        <x:v>46245</x:v>
      </x:c>
      <x:c r="E413" s="294" t="n">
        <x:f>IF('초등학교+병설유치원(8월)'!BA33="",0,'초등학교+병설유치원(8월)'!BA33)</x:f>
        <x:v>19</x:v>
      </x:c>
      <x:c r="F413" s="294" t="n">
        <x:f>IF('초등학교+병설유치원(8월)'!BB33="",0,'초등학교+병설유치원(8월)'!BB33)</x:f>
        <x:v>18</x:v>
      </x:c>
      <x:c r="G413" s="294" t="n">
        <x:f>IF('초등학교+병설유치원(8월)'!BC33="",0,'초등학교+병설유치원(8월)'!BC33)</x:f>
        <x:v>18</x:v>
      </x:c>
      <x:c r="H413" s="294" t="n">
        <x:f>IF('초등학교+병설유치원(8월)'!BD33="",0,'초등학교+병설유치원(8월)'!BD33)</x:f>
        <x:v>0</x:v>
      </x:c>
      <x:c r="I413" s="294" t="n">
        <x:f>IF('초등학교+병설유치원(8월)'!BE33="",0,'초등학교+병설유치원(8월)'!BE33)</x:f>
        <x:v>0</x:v>
      </x:c>
      <x:c r="J413" s="296" t="n">
        <x:f>SUM(E413:I413)</x:f>
        <x:v>55</x:v>
      </x:c>
      <x:c r="K413" s="291" t="str">
        <x:v>8월</x:v>
      </x:c>
    </x:row>
    <x:row r="414">
      <x:c r="A414" s="291" t="n">
        <x:f>IF('초등학교+병설유치원(8월)'!A33="","",'초등학교+병설유치원(8월)'!A33)</x:f>
        <x:v>20</x:v>
      </x:c>
      <x:c r="B414" s="291" t="str">
        <x:v>초등학교</x:v>
      </x:c>
      <x:c r="C414" s="291" t="str">
        <x:f>IF('초등학교+병설유치원(8월)'!B33="","",'초등학교+병설유치원(8월)'!B33)</x:f>
        <x:v>이리송학초</x:v>
      </x:c>
      <x:c r="D414" s="293" t="n">
        <x:v>46246</x:v>
      </x:c>
      <x:c r="E414" s="294" t="n">
        <x:f>IF('초등학교+병설유치원(8월)'!BG33="",0,'초등학교+병설유치원(8월)'!BG33)</x:f>
        <x:v>19</x:v>
      </x:c>
      <x:c r="F414" s="294" t="n">
        <x:f>IF('초등학교+병설유치원(8월)'!BH33="",0,'초등학교+병설유치원(8월)'!BH33)</x:f>
        <x:v>18</x:v>
      </x:c>
      <x:c r="G414" s="294" t="n">
        <x:f>IF('초등학교+병설유치원(8월)'!BI33="",0,'초등학교+병설유치원(8월)'!BI33)</x:f>
        <x:v>18</x:v>
      </x:c>
      <x:c r="H414" s="294" t="n">
        <x:f>IF('초등학교+병설유치원(8월)'!BJ33="",0,'초등학교+병설유치원(8월)'!BJ33)</x:f>
        <x:v>0</x:v>
      </x:c>
      <x:c r="I414" s="294" t="n">
        <x:f>IF('초등학교+병설유치원(8월)'!BK33="",0,'초등학교+병설유치원(8월)'!BK33)</x:f>
        <x:v>0</x:v>
      </x:c>
      <x:c r="J414" s="296" t="n">
        <x:f>SUM(E414:I414)</x:f>
        <x:v>55</x:v>
      </x:c>
      <x:c r="K414" s="291" t="str">
        <x:v>8월</x:v>
      </x:c>
    </x:row>
    <x:row r="415">
      <x:c r="A415" s="291" t="n">
        <x:f>IF('초등학교+병설유치원(8월)'!A33="","",'초등학교+병설유치원(8월)'!A33)</x:f>
        <x:v>20</x:v>
      </x:c>
      <x:c r="B415" s="291" t="str">
        <x:v>초등학교</x:v>
      </x:c>
      <x:c r="C415" s="291" t="str">
        <x:f>IF('초등학교+병설유치원(8월)'!B33="","",'초등학교+병설유치원(8월)'!B33)</x:f>
        <x:v>이리송학초</x:v>
      </x:c>
      <x:c r="D415" s="293" t="n">
        <x:v>46247</x:v>
      </x:c>
      <x:c r="E415" s="294" t="n">
        <x:f>IF('초등학교+병설유치원(8월)'!BM33="",0,'초등학교+병설유치원(8월)'!BM33)</x:f>
        <x:v>19</x:v>
      </x:c>
      <x:c r="F415" s="294" t="n">
        <x:f>IF('초등학교+병설유치원(8월)'!BN33="",0,'초등학교+병설유치원(8월)'!BN33)</x:f>
        <x:v>18</x:v>
      </x:c>
      <x:c r="G415" s="294" t="n">
        <x:f>IF('초등학교+병설유치원(8월)'!BO33="",0,'초등학교+병설유치원(8월)'!BO33)</x:f>
        <x:v>18</x:v>
      </x:c>
      <x:c r="H415" s="294" t="n">
        <x:f>IF('초등학교+병설유치원(8월)'!BP33="",0,'초등학교+병설유치원(8월)'!BP33)</x:f>
        <x:v>0</x:v>
      </x:c>
      <x:c r="I415" s="294" t="n">
        <x:f>IF('초등학교+병설유치원(8월)'!BQ33="",0,'초등학교+병설유치원(8월)'!BQ33)</x:f>
        <x:v>0</x:v>
      </x:c>
      <x:c r="J415" s="296" t="n">
        <x:f>SUM(E415:I415)</x:f>
        <x:v>55</x:v>
      </x:c>
      <x:c r="K415" s="291" t="str">
        <x:v>8월</x:v>
      </x:c>
    </x:row>
    <x:row r="416">
      <x:c r="A416" s="291" t="n">
        <x:f>IF('초등학교+병설유치원(8월)'!A33="","",'초등학교+병설유치원(8월)'!A33)</x:f>
        <x:v>20</x:v>
      </x:c>
      <x:c r="B416" s="291" t="str">
        <x:v>초등학교</x:v>
      </x:c>
      <x:c r="C416" s="291" t="str">
        <x:f>IF('초등학교+병설유치원(8월)'!B33="","",'초등학교+병설유치원(8월)'!B33)</x:f>
        <x:v>이리송학초</x:v>
      </x:c>
      <x:c r="D416" s="293" t="n">
        <x:v>46248</x:v>
      </x:c>
      <x:c r="E416" s="294" t="n">
        <x:f>IF('초등학교+병설유치원(8월)'!BS33="",0,'초등학교+병설유치원(8월)'!BS33)</x:f>
        <x:v>19</x:v>
      </x:c>
      <x:c r="F416" s="294" t="n">
        <x:f>IF('초등학교+병설유치원(8월)'!BT33="",0,'초등학교+병설유치원(8월)'!BT33)</x:f>
        <x:v>18</x:v>
      </x:c>
      <x:c r="G416" s="294" t="n">
        <x:f>IF('초등학교+병설유치원(8월)'!BU33="",0,'초등학교+병설유치원(8월)'!BU33)</x:f>
        <x:v>18</x:v>
      </x:c>
      <x:c r="H416" s="294" t="n">
        <x:f>IF('초등학교+병설유치원(8월)'!BV33="",0,'초등학교+병설유치원(8월)'!BV33)</x:f>
        <x:v>0</x:v>
      </x:c>
      <x:c r="I416" s="294" t="n">
        <x:f>IF('초등학교+병설유치원(8월)'!BW33="",0,'초등학교+병설유치원(8월)'!BW33)</x:f>
        <x:v>0</x:v>
      </x:c>
      <x:c r="J416" s="296" t="n">
        <x:f>SUM(E416:I416)</x:f>
        <x:v>55</x:v>
      </x:c>
      <x:c r="K416" s="291" t="str">
        <x:v>8월</x:v>
      </x:c>
    </x:row>
    <x:row r="417">
      <x:c r="A417" s="291" t="n">
        <x:f>IF('초등학교+병설유치원(8월)'!A33="","",'초등학교+병설유치원(8월)'!A33)</x:f>
        <x:v>20</x:v>
      </x:c>
      <x:c r="B417" s="291" t="str">
        <x:v>초등학교</x:v>
      </x:c>
      <x:c r="C417" s="291" t="str">
        <x:f>IF('초등학교+병설유치원(8월)'!B33="","",'초등학교+병설유치원(8월)'!B33)</x:f>
        <x:v>이리송학초</x:v>
      </x:c>
      <x:c r="D417" s="293" t="n">
        <x:v>46252</x:v>
      </x:c>
      <x:c r="E417" s="294" t="n">
        <x:f>IF('초등학교+병설유치원(8월)'!BY33="",0,'초등학교+병설유치원(8월)'!BY33)</x:f>
        <x:v>19</x:v>
      </x:c>
      <x:c r="F417" s="294" t="n">
        <x:f>IF('초등학교+병설유치원(8월)'!BZ33="",0,'초등학교+병설유치원(8월)'!BZ33)</x:f>
        <x:v>18</x:v>
      </x:c>
      <x:c r="G417" s="294" t="n">
        <x:f>IF('초등학교+병설유치원(8월)'!CA33="",0,'초등학교+병설유치원(8월)'!CA33)</x:f>
        <x:v>18</x:v>
      </x:c>
      <x:c r="H417" s="294" t="n">
        <x:f>IF('초등학교+병설유치원(8월)'!CB33="",0,'초등학교+병설유치원(8월)'!CB33)</x:f>
        <x:v>0</x:v>
      </x:c>
      <x:c r="I417" s="294" t="n">
        <x:f>IF('초등학교+병설유치원(8월)'!CC33="",0,'초등학교+병설유치원(8월)'!CC33)</x:f>
        <x:v>0</x:v>
      </x:c>
      <x:c r="J417" s="296" t="n">
        <x:f>SUM(E417:I417)</x:f>
        <x:v>55</x:v>
      </x:c>
      <x:c r="K417" s="291" t="str">
        <x:v>8월</x:v>
      </x:c>
    </x:row>
    <x:row r="418">
      <x:c r="A418" s="291" t="n">
        <x:f>IF('초등학교+병설유치원(8월)'!A33="","",'초등학교+병설유치원(8월)'!A33)</x:f>
        <x:v>20</x:v>
      </x:c>
      <x:c r="B418" s="291" t="str">
        <x:v>초등학교</x:v>
      </x:c>
      <x:c r="C418" s="291" t="str">
        <x:f>IF('초등학교+병설유치원(8월)'!B33="","",'초등학교+병설유치원(8월)'!B33)</x:f>
        <x:v>이리송학초</x:v>
      </x:c>
      <x:c r="D418" s="293" t="n">
        <x:v>46253</x:v>
      </x:c>
      <x:c r="E418" s="294" t="n">
        <x:f>IF('초등학교+병설유치원(8월)'!CE33="",0,'초등학교+병설유치원(8월)'!CE33)</x:f>
        <x:v>19</x:v>
      </x:c>
      <x:c r="F418" s="294" t="n">
        <x:f>IF('초등학교+병설유치원(8월)'!CF33="",0,'초등학교+병설유치원(8월)'!CF33)</x:f>
        <x:v>18</x:v>
      </x:c>
      <x:c r="G418" s="294" t="n">
        <x:f>IF('초등학교+병설유치원(8월)'!CG33="",0,'초등학교+병설유치원(8월)'!CG33)</x:f>
        <x:v>18</x:v>
      </x:c>
      <x:c r="H418" s="294" t="n">
        <x:f>IF('초등학교+병설유치원(8월)'!CH33="",0,'초등학교+병설유치원(8월)'!CH33)</x:f>
        <x:v>0</x:v>
      </x:c>
      <x:c r="I418" s="294" t="n">
        <x:f>IF('초등학교+병설유치원(8월)'!CI33="",0,'초등학교+병설유치원(8월)'!CI33)</x:f>
        <x:v>0</x:v>
      </x:c>
      <x:c r="J418" s="296" t="n">
        <x:f>SUM(E418:I418)</x:f>
        <x:v>55</x:v>
      </x:c>
      <x:c r="K418" s="291" t="str">
        <x:v>8월</x:v>
      </x:c>
    </x:row>
    <x:row r="419">
      <x:c r="A419" s="291" t="str">
        <x:f>IF('초등학교+병설유치원(8월)'!A34="","",'초등학교+병설유치원(8월)'!A34)</x:f>
        <x:v>20-1</x:v>
      </x:c>
      <x:c r="B419" s="291" t="str">
        <x:v>병설유치원</x:v>
      </x:c>
      <x:c r="C419" s="291" t="str">
        <x:f>IF('초등학교+병설유치원(8월)'!B34="","",'초등학교+병설유치원(8월)'!B34)</x:f>
        <x:v>이리송학초 병설유치원</x:v>
      </x:c>
      <x:c r="D419" s="293" t="n">
        <x:v>46237</x:v>
      </x:c>
      <x:c r="E419" s="294" t="n">
        <x:f>IF('초등학교+병설유치원(8월)'!Q34="",0,'초등학교+병설유치원(8월)'!Q34)</x:f>
        <x:v>6</x:v>
      </x:c>
      <x:c r="F419" s="294" t="n">
        <x:f>IF('초등학교+병설유치원(8월)'!R34="",0,'초등학교+병설유치원(8월)'!R34)</x:f>
        <x:v>0</x:v>
      </x:c>
      <x:c r="G419" s="294" t="n">
        <x:f>IF('초등학교+병설유치원(8월)'!S34="",0,'초등학교+병설유치원(8월)'!S34)</x:f>
        <x:v>0</x:v>
      </x:c>
      <x:c r="H419" s="294" t="n">
        <x:f>IF('초등학교+병설유치원(8월)'!T34="",0,'초등학교+병설유치원(8월)'!T34)</x:f>
        <x:v>0</x:v>
      </x:c>
      <x:c r="I419" s="294" t="n">
        <x:f>IF('초등학교+병설유치원(8월)'!U34="",0,'초등학교+병설유치원(8월)'!U34)</x:f>
        <x:v>0</x:v>
      </x:c>
      <x:c r="J419" s="296" t="n">
        <x:f>SUM(E419:I419)</x:f>
        <x:v>6</x:v>
      </x:c>
      <x:c r="K419" s="291" t="str">
        <x:v>8월</x:v>
      </x:c>
    </x:row>
    <x:row r="420">
      <x:c r="A420" s="291" t="str">
        <x:f>IF('초등학교+병설유치원(8월)'!A34="","",'초등학교+병설유치원(8월)'!A34)</x:f>
        <x:v>20-1</x:v>
      </x:c>
      <x:c r="B420" s="291" t="str">
        <x:v>병설유치원</x:v>
      </x:c>
      <x:c r="C420" s="291" t="str">
        <x:f>IF('초등학교+병설유치원(8월)'!B34="","",'초등학교+병설유치원(8월)'!B34)</x:f>
        <x:v>이리송학초 병설유치원</x:v>
      </x:c>
      <x:c r="D420" s="293" t="n">
        <x:v>46238</x:v>
      </x:c>
      <x:c r="E420" s="294" t="n">
        <x:f>IF('초등학교+병설유치원(8월)'!W34="",0,'초등학교+병설유치원(8월)'!W34)</x:f>
        <x:v>6</x:v>
      </x:c>
      <x:c r="F420" s="294" t="n">
        <x:f>IF('초등학교+병설유치원(8월)'!X34="",0,'초등학교+병설유치원(8월)'!X34)</x:f>
        <x:v>0</x:v>
      </x:c>
      <x:c r="G420" s="294" t="n">
        <x:f>IF('초등학교+병설유치원(8월)'!Y34="",0,'초등학교+병설유치원(8월)'!Y34)</x:f>
        <x:v>0</x:v>
      </x:c>
      <x:c r="H420" s="294" t="n">
        <x:f>IF('초등학교+병설유치원(8월)'!Z34="",0,'초등학교+병설유치원(8월)'!Z34)</x:f>
        <x:v>0</x:v>
      </x:c>
      <x:c r="I420" s="294" t="n">
        <x:f>IF('초등학교+병설유치원(8월)'!AA34="",0,'초등학교+병설유치원(8월)'!AA34)</x:f>
        <x:v>0</x:v>
      </x:c>
      <x:c r="J420" s="296" t="n">
        <x:f>SUM(E420:I420)</x:f>
        <x:v>6</x:v>
      </x:c>
      <x:c r="K420" s="291" t="str">
        <x:v>8월</x:v>
      </x:c>
    </x:row>
    <x:row r="421">
      <x:c r="A421" s="291" t="str">
        <x:f>IF('초등학교+병설유치원(8월)'!A34="","",'초등학교+병설유치원(8월)'!A34)</x:f>
        <x:v>20-1</x:v>
      </x:c>
      <x:c r="B421" s="291" t="str">
        <x:v>병설유치원</x:v>
      </x:c>
      <x:c r="C421" s="291" t="str">
        <x:f>IF('초등학교+병설유치원(8월)'!B34="","",'초등학교+병설유치원(8월)'!B34)</x:f>
        <x:v>이리송학초 병설유치원</x:v>
      </x:c>
      <x:c r="D421" s="293" t="n">
        <x:v>46239</x:v>
      </x:c>
      <x:c r="E421" s="294" t="n">
        <x:f>IF('초등학교+병설유치원(8월)'!AC34="",0,'초등학교+병설유치원(8월)'!AC34)</x:f>
        <x:v>6</x:v>
      </x:c>
      <x:c r="F421" s="294" t="n">
        <x:f>IF('초등학교+병설유치원(8월)'!AD34="",0,'초등학교+병설유치원(8월)'!AD34)</x:f>
        <x:v>0</x:v>
      </x:c>
      <x:c r="G421" s="294" t="n">
        <x:f>IF('초등학교+병설유치원(8월)'!AE34="",0,'초등학교+병설유치원(8월)'!AE34)</x:f>
        <x:v>0</x:v>
      </x:c>
      <x:c r="H421" s="294" t="n">
        <x:f>IF('초등학교+병설유치원(8월)'!AF34="",0,'초등학교+병설유치원(8월)'!AF34)</x:f>
        <x:v>0</x:v>
      </x:c>
      <x:c r="I421" s="294" t="n">
        <x:f>IF('초등학교+병설유치원(8월)'!AG34="",0,'초등학교+병설유치원(8월)'!AG34)</x:f>
        <x:v>0</x:v>
      </x:c>
      <x:c r="J421" s="296" t="n">
        <x:f>SUM(E421:I421)</x:f>
        <x:v>6</x:v>
      </x:c>
      <x:c r="K421" s="291" t="str">
        <x:v>8월</x:v>
      </x:c>
    </x:row>
    <x:row r="422">
      <x:c r="A422" s="291" t="str">
        <x:f>IF('초등학교+병설유치원(8월)'!A34="","",'초등학교+병설유치원(8월)'!A34)</x:f>
        <x:v>20-1</x:v>
      </x:c>
      <x:c r="B422" s="291" t="str">
        <x:v>병설유치원</x:v>
      </x:c>
      <x:c r="C422" s="291" t="str">
        <x:f>IF('초등학교+병설유치원(8월)'!B34="","",'초등학교+병설유치원(8월)'!B34)</x:f>
        <x:v>이리송학초 병설유치원</x:v>
      </x:c>
      <x:c r="D422" s="293" t="n">
        <x:v>46240</x:v>
      </x:c>
      <x:c r="E422" s="294" t="n">
        <x:f>IF('초등학교+병설유치원(8월)'!AI34="",0,'초등학교+병설유치원(8월)'!AI34)</x:f>
        <x:v>6</x:v>
      </x:c>
      <x:c r="F422" s="294" t="n">
        <x:f>IF('초등학교+병설유치원(8월)'!AJ34="",0,'초등학교+병설유치원(8월)'!AJ34)</x:f>
        <x:v>0</x:v>
      </x:c>
      <x:c r="G422" s="294" t="n">
        <x:f>IF('초등학교+병설유치원(8월)'!AK34="",0,'초등학교+병설유치원(8월)'!AK34)</x:f>
        <x:v>0</x:v>
      </x:c>
      <x:c r="H422" s="294" t="n">
        <x:f>IF('초등학교+병설유치원(8월)'!AL34="",0,'초등학교+병설유치원(8월)'!AL34)</x:f>
        <x:v>0</x:v>
      </x:c>
      <x:c r="I422" s="294" t="n">
        <x:f>IF('초등학교+병설유치원(8월)'!AM34="",0,'초등학교+병설유치원(8월)'!AM34)</x:f>
        <x:v>0</x:v>
      </x:c>
      <x:c r="J422" s="296" t="n">
        <x:f>SUM(E422:I422)</x:f>
        <x:v>6</x:v>
      </x:c>
      <x:c r="K422" s="291" t="str">
        <x:v>8월</x:v>
      </x:c>
    </x:row>
    <x:row r="423">
      <x:c r="A423" s="291" t="str">
        <x:f>IF('초등학교+병설유치원(8월)'!A34="","",'초등학교+병설유치원(8월)'!A34)</x:f>
        <x:v>20-1</x:v>
      </x:c>
      <x:c r="B423" s="291" t="str">
        <x:v>병설유치원</x:v>
      </x:c>
      <x:c r="C423" s="291" t="str">
        <x:f>IF('초등학교+병설유치원(8월)'!B34="","",'초등학교+병설유치원(8월)'!B34)</x:f>
        <x:v>이리송학초 병설유치원</x:v>
      </x:c>
      <x:c r="D423" s="293" t="n">
        <x:v>46241</x:v>
      </x:c>
      <x:c r="E423" s="294" t="n">
        <x:f>IF('초등학교+병설유치원(8월)'!AO34="",0,'초등학교+병설유치원(8월)'!AO34)</x:f>
        <x:v>6</x:v>
      </x:c>
      <x:c r="F423" s="294" t="n">
        <x:f>IF('초등학교+병설유치원(8월)'!AP34="",0,'초등학교+병설유치원(8월)'!AP34)</x:f>
        <x:v>0</x:v>
      </x:c>
      <x:c r="G423" s="294" t="n">
        <x:f>IF('초등학교+병설유치원(8월)'!AQ34="",0,'초등학교+병설유치원(8월)'!AQ34)</x:f>
        <x:v>0</x:v>
      </x:c>
      <x:c r="H423" s="294" t="n">
        <x:f>IF('초등학교+병설유치원(8월)'!AR34="",0,'초등학교+병설유치원(8월)'!AR34)</x:f>
        <x:v>0</x:v>
      </x:c>
      <x:c r="I423" s="294" t="n">
        <x:f>IF('초등학교+병설유치원(8월)'!AS34="",0,'초등학교+병설유치원(8월)'!AS34)</x:f>
        <x:v>0</x:v>
      </x:c>
      <x:c r="J423" s="296" t="n">
        <x:f>SUM(E423:I423)</x:f>
        <x:v>6</x:v>
      </x:c>
      <x:c r="K423" s="291" t="str">
        <x:v>8월</x:v>
      </x:c>
    </x:row>
    <x:row r="424">
      <x:c r="A424" s="291" t="str">
        <x:f>IF('초등학교+병설유치원(8월)'!A34="","",'초등학교+병설유치원(8월)'!A34)</x:f>
        <x:v>20-1</x:v>
      </x:c>
      <x:c r="B424" s="291" t="str">
        <x:v>병설유치원</x:v>
      </x:c>
      <x:c r="C424" s="291" t="str">
        <x:f>IF('초등학교+병설유치원(8월)'!B34="","",'초등학교+병설유치원(8월)'!B34)</x:f>
        <x:v>이리송학초 병설유치원</x:v>
      </x:c>
      <x:c r="D424" s="293" t="n">
        <x:v>46244</x:v>
      </x:c>
      <x:c r="E424" s="294" t="n">
        <x:f>IF('초등학교+병설유치원(8월)'!AU34="",0,'초등학교+병설유치원(8월)'!AU34)</x:f>
        <x:v>6</x:v>
      </x:c>
      <x:c r="F424" s="294" t="n">
        <x:f>IF('초등학교+병설유치원(8월)'!AV34="",0,'초등학교+병설유치원(8월)'!AV34)</x:f>
        <x:v>0</x:v>
      </x:c>
      <x:c r="G424" s="294" t="n">
        <x:f>IF('초등학교+병설유치원(8월)'!AW34="",0,'초등학교+병설유치원(8월)'!AW34)</x:f>
        <x:v>0</x:v>
      </x:c>
      <x:c r="H424" s="294" t="n">
        <x:f>IF('초등학교+병설유치원(8월)'!AX34="",0,'초등학교+병설유치원(8월)'!AX34)</x:f>
        <x:v>0</x:v>
      </x:c>
      <x:c r="I424" s="294" t="n">
        <x:f>IF('초등학교+병설유치원(8월)'!AY34="",0,'초등학교+병설유치원(8월)'!AY34)</x:f>
        <x:v>0</x:v>
      </x:c>
      <x:c r="J424" s="296" t="n">
        <x:f>SUM(E424:I424)</x:f>
        <x:v>6</x:v>
      </x:c>
      <x:c r="K424" s="291" t="str">
        <x:v>8월</x:v>
      </x:c>
    </x:row>
    <x:row r="425">
      <x:c r="A425" s="291" t="str">
        <x:f>IF('초등학교+병설유치원(8월)'!A34="","",'초등학교+병설유치원(8월)'!A34)</x:f>
        <x:v>20-1</x:v>
      </x:c>
      <x:c r="B425" s="291" t="str">
        <x:v>병설유치원</x:v>
      </x:c>
      <x:c r="C425" s="291" t="str">
        <x:f>IF('초등학교+병설유치원(8월)'!B34="","",'초등학교+병설유치원(8월)'!B34)</x:f>
        <x:v>이리송학초 병설유치원</x:v>
      </x:c>
      <x:c r="D425" s="293" t="n">
        <x:v>46245</x:v>
      </x:c>
      <x:c r="E425" s="294" t="n">
        <x:f>IF('초등학교+병설유치원(8월)'!BA34="",0,'초등학교+병설유치원(8월)'!BA34)</x:f>
        <x:v>6</x:v>
      </x:c>
      <x:c r="F425" s="294" t="n">
        <x:f>IF('초등학교+병설유치원(8월)'!BB34="",0,'초등학교+병설유치원(8월)'!BB34)</x:f>
        <x:v>0</x:v>
      </x:c>
      <x:c r="G425" s="294" t="n">
        <x:f>IF('초등학교+병설유치원(8월)'!BC34="",0,'초등학교+병설유치원(8월)'!BC34)</x:f>
        <x:v>0</x:v>
      </x:c>
      <x:c r="H425" s="294" t="n">
        <x:f>IF('초등학교+병설유치원(8월)'!BD34="",0,'초등학교+병설유치원(8월)'!BD34)</x:f>
        <x:v>0</x:v>
      </x:c>
      <x:c r="I425" s="294" t="n">
        <x:f>IF('초등학교+병설유치원(8월)'!BE34="",0,'초등학교+병설유치원(8월)'!BE34)</x:f>
        <x:v>0</x:v>
      </x:c>
      <x:c r="J425" s="296" t="n">
        <x:f>SUM(E425:I425)</x:f>
        <x:v>6</x:v>
      </x:c>
      <x:c r="K425" s="291" t="str">
        <x:v>8월</x:v>
      </x:c>
    </x:row>
    <x:row r="426">
      <x:c r="A426" s="291" t="str">
        <x:f>IF('초등학교+병설유치원(8월)'!A34="","",'초등학교+병설유치원(8월)'!A34)</x:f>
        <x:v>20-1</x:v>
      </x:c>
      <x:c r="B426" s="291" t="str">
        <x:v>병설유치원</x:v>
      </x:c>
      <x:c r="C426" s="291" t="str">
        <x:f>IF('초등학교+병설유치원(8월)'!B34="","",'초등학교+병설유치원(8월)'!B34)</x:f>
        <x:v>이리송학초 병설유치원</x:v>
      </x:c>
      <x:c r="D426" s="293" t="n">
        <x:v>46246</x:v>
      </x:c>
      <x:c r="E426" s="294" t="n">
        <x:f>IF('초등학교+병설유치원(8월)'!BG34="",0,'초등학교+병설유치원(8월)'!BG34)</x:f>
        <x:v>6</x:v>
      </x:c>
      <x:c r="F426" s="294" t="n">
        <x:f>IF('초등학교+병설유치원(8월)'!BH34="",0,'초등학교+병설유치원(8월)'!BH34)</x:f>
        <x:v>0</x:v>
      </x:c>
      <x:c r="G426" s="294" t="n">
        <x:f>IF('초등학교+병설유치원(8월)'!BI34="",0,'초등학교+병설유치원(8월)'!BI34)</x:f>
        <x:v>0</x:v>
      </x:c>
      <x:c r="H426" s="294" t="n">
        <x:f>IF('초등학교+병설유치원(8월)'!BJ34="",0,'초등학교+병설유치원(8월)'!BJ34)</x:f>
        <x:v>0</x:v>
      </x:c>
      <x:c r="I426" s="294" t="n">
        <x:f>IF('초등학교+병설유치원(8월)'!BK34="",0,'초등학교+병설유치원(8월)'!BK34)</x:f>
        <x:v>0</x:v>
      </x:c>
      <x:c r="J426" s="296" t="n">
        <x:f>SUM(E426:I426)</x:f>
        <x:v>6</x:v>
      </x:c>
      <x:c r="K426" s="291" t="str">
        <x:v>8월</x:v>
      </x:c>
    </x:row>
    <x:row r="427">
      <x:c r="A427" s="291" t="str">
        <x:f>IF('초등학교+병설유치원(8월)'!A34="","",'초등학교+병설유치원(8월)'!A34)</x:f>
        <x:v>20-1</x:v>
      </x:c>
      <x:c r="B427" s="291" t="str">
        <x:v>병설유치원</x:v>
      </x:c>
      <x:c r="C427" s="291" t="str">
        <x:f>IF('초등학교+병설유치원(8월)'!B34="","",'초등학교+병설유치원(8월)'!B34)</x:f>
        <x:v>이리송학초 병설유치원</x:v>
      </x:c>
      <x:c r="D427" s="293" t="n">
        <x:v>46247</x:v>
      </x:c>
      <x:c r="E427" s="294" t="n">
        <x:f>IF('초등학교+병설유치원(8월)'!BM34="",0,'초등학교+병설유치원(8월)'!BM34)</x:f>
        <x:v>6</x:v>
      </x:c>
      <x:c r="F427" s="294" t="n">
        <x:f>IF('초등학교+병설유치원(8월)'!BN34="",0,'초등학교+병설유치원(8월)'!BN34)</x:f>
        <x:v>0</x:v>
      </x:c>
      <x:c r="G427" s="294" t="n">
        <x:f>IF('초등학교+병설유치원(8월)'!BO34="",0,'초등학교+병설유치원(8월)'!BO34)</x:f>
        <x:v>0</x:v>
      </x:c>
      <x:c r="H427" s="294" t="n">
        <x:f>IF('초등학교+병설유치원(8월)'!BP34="",0,'초등학교+병설유치원(8월)'!BP34)</x:f>
        <x:v>0</x:v>
      </x:c>
      <x:c r="I427" s="294" t="n">
        <x:f>IF('초등학교+병설유치원(8월)'!BQ34="",0,'초등학교+병설유치원(8월)'!BQ34)</x:f>
        <x:v>0</x:v>
      </x:c>
      <x:c r="J427" s="296" t="n">
        <x:f>SUM(E427:I427)</x:f>
        <x:v>6</x:v>
      </x:c>
      <x:c r="K427" s="291" t="str">
        <x:v>8월</x:v>
      </x:c>
    </x:row>
    <x:row r="428">
      <x:c r="A428" s="291" t="str">
        <x:f>IF('초등학교+병설유치원(8월)'!A34="","",'초등학교+병설유치원(8월)'!A34)</x:f>
        <x:v>20-1</x:v>
      </x:c>
      <x:c r="B428" s="291" t="str">
        <x:v>병설유치원</x:v>
      </x:c>
      <x:c r="C428" s="291" t="str">
        <x:f>IF('초등학교+병설유치원(8월)'!B34="","",'초등학교+병설유치원(8월)'!B34)</x:f>
        <x:v>이리송학초 병설유치원</x:v>
      </x:c>
      <x:c r="D428" s="293" t="n">
        <x:v>46248</x:v>
      </x:c>
      <x:c r="E428" s="294" t="n">
        <x:f>IF('초등학교+병설유치원(8월)'!BS34="",0,'초등학교+병설유치원(8월)'!BS34)</x:f>
        <x:v>6</x:v>
      </x:c>
      <x:c r="F428" s="294" t="n">
        <x:f>IF('초등학교+병설유치원(8월)'!BT34="",0,'초등학교+병설유치원(8월)'!BT34)</x:f>
        <x:v>0</x:v>
      </x:c>
      <x:c r="G428" s="294" t="n">
        <x:f>IF('초등학교+병설유치원(8월)'!BU34="",0,'초등학교+병설유치원(8월)'!BU34)</x:f>
        <x:v>0</x:v>
      </x:c>
      <x:c r="H428" s="294" t="n">
        <x:f>IF('초등학교+병설유치원(8월)'!BV34="",0,'초등학교+병설유치원(8월)'!BV34)</x:f>
        <x:v>0</x:v>
      </x:c>
      <x:c r="I428" s="294" t="n">
        <x:f>IF('초등학교+병설유치원(8월)'!BW34="",0,'초등학교+병설유치원(8월)'!BW34)</x:f>
        <x:v>0</x:v>
      </x:c>
      <x:c r="J428" s="296" t="n">
        <x:f>SUM(E428:I428)</x:f>
        <x:v>6</x:v>
      </x:c>
      <x:c r="K428" s="291" t="str">
        <x:v>8월</x:v>
      </x:c>
    </x:row>
    <x:row r="429">
      <x:c r="A429" s="291" t="str">
        <x:f>IF('초등학교+병설유치원(8월)'!A34="","",'초등학교+병설유치원(8월)'!A34)</x:f>
        <x:v>20-1</x:v>
      </x:c>
      <x:c r="B429" s="291" t="str">
        <x:v>병설유치원</x:v>
      </x:c>
      <x:c r="C429" s="291" t="str">
        <x:f>IF('초등학교+병설유치원(8월)'!B34="","",'초등학교+병설유치원(8월)'!B34)</x:f>
        <x:v>이리송학초 병설유치원</x:v>
      </x:c>
      <x:c r="D429" s="293" t="n">
        <x:v>46252</x:v>
      </x:c>
      <x:c r="E429" s="294" t="n">
        <x:f>IF('초등학교+병설유치원(8월)'!BY34="",0,'초등학교+병설유치원(8월)'!BY34)</x:f>
        <x:v>6</x:v>
      </x:c>
      <x:c r="F429" s="294" t="n">
        <x:f>IF('초등학교+병설유치원(8월)'!BZ34="",0,'초등학교+병설유치원(8월)'!BZ34)</x:f>
        <x:v>0</x:v>
      </x:c>
      <x:c r="G429" s="294" t="n">
        <x:f>IF('초등학교+병설유치원(8월)'!CA34="",0,'초등학교+병설유치원(8월)'!CA34)</x:f>
        <x:v>0</x:v>
      </x:c>
      <x:c r="H429" s="294" t="n">
        <x:f>IF('초등학교+병설유치원(8월)'!CB34="",0,'초등학교+병설유치원(8월)'!CB34)</x:f>
        <x:v>0</x:v>
      </x:c>
      <x:c r="I429" s="294" t="n">
        <x:f>IF('초등학교+병설유치원(8월)'!CC34="",0,'초등학교+병설유치원(8월)'!CC34)</x:f>
        <x:v>0</x:v>
      </x:c>
      <x:c r="J429" s="296" t="n">
        <x:f>SUM(E429:I429)</x:f>
        <x:v>6</x:v>
      </x:c>
      <x:c r="K429" s="291" t="str">
        <x:v>8월</x:v>
      </x:c>
    </x:row>
    <x:row r="430">
      <x:c r="A430" s="291" t="str">
        <x:f>IF('초등학교+병설유치원(8월)'!A34="","",'초등학교+병설유치원(8월)'!A34)</x:f>
        <x:v>20-1</x:v>
      </x:c>
      <x:c r="B430" s="291" t="str">
        <x:v>병설유치원</x:v>
      </x:c>
      <x:c r="C430" s="291" t="str">
        <x:f>IF('초등학교+병설유치원(8월)'!B34="","",'초등학교+병설유치원(8월)'!B34)</x:f>
        <x:v>이리송학초 병설유치원</x:v>
      </x:c>
      <x:c r="D430" s="293" t="n">
        <x:v>46253</x:v>
      </x:c>
      <x:c r="E430" s="294" t="n">
        <x:f>IF('초등학교+병설유치원(8월)'!CE34="",0,'초등학교+병설유치원(8월)'!CE34)</x:f>
        <x:v>6</x:v>
      </x:c>
      <x:c r="F430" s="294" t="n">
        <x:f>IF('초등학교+병설유치원(8월)'!CF34="",0,'초등학교+병설유치원(8월)'!CF34)</x:f>
        <x:v>0</x:v>
      </x:c>
      <x:c r="G430" s="294" t="n">
        <x:f>IF('초등학교+병설유치원(8월)'!CG34="",0,'초등학교+병설유치원(8월)'!CG34)</x:f>
        <x:v>0</x:v>
      </x:c>
      <x:c r="H430" s="294" t="n">
        <x:f>IF('초등학교+병설유치원(8월)'!CH34="",0,'초등학교+병설유치원(8월)'!CH34)</x:f>
        <x:v>0</x:v>
      </x:c>
      <x:c r="I430" s="294" t="n">
        <x:f>IF('초등학교+병설유치원(8월)'!CI34="",0,'초등학교+병설유치원(8월)'!CI34)</x:f>
        <x:v>0</x:v>
      </x:c>
      <x:c r="J430" s="296" t="n">
        <x:f>SUM(E430:I430)</x:f>
        <x:v>6</x:v>
      </x:c>
      <x:c r="K430" s="291" t="str">
        <x:v>8월</x:v>
      </x:c>
    </x:row>
    <x:row r="431">
      <x:c r="A431" s="291" t="n">
        <x:f>IF('초등학교+병설유치원(8월)'!A35="","",'초등학교+병설유치원(8월)'!A35)</x:f>
        <x:v>21</x:v>
      </x:c>
      <x:c r="B431" s="291" t="str">
        <x:v>초등학교</x:v>
      </x:c>
      <x:c r="C431" s="291" t="str">
        <x:f>IF('초등학교+병설유치원(8월)'!B35="","",'초등학교+병설유치원(8월)'!B35)</x:f>
        <x:v>이리신동초</x:v>
      </x:c>
      <x:c r="D431" s="293" t="n">
        <x:v>46237</x:v>
      </x:c>
      <x:c r="E431" s="294" t="n">
        <x:f>IF('초등학교+병설유치원(8월)'!Q35="",0,'초등학교+병설유치원(8월)'!Q35)</x:f>
        <x:v>21</x:v>
      </x:c>
      <x:c r="F431" s="294" t="n">
        <x:f>IF('초등학교+병설유치원(8월)'!R35="",0,'초등학교+병설유치원(8월)'!R35)</x:f>
        <x:v>0</x:v>
      </x:c>
      <x:c r="G431" s="294" t="n">
        <x:f>IF('초등학교+병설유치원(8월)'!S35="",0,'초등학교+병설유치원(8월)'!S35)</x:f>
        <x:v>0</x:v>
      </x:c>
      <x:c r="H431" s="294" t="n">
        <x:f>IF('초등학교+병설유치원(8월)'!T35="",0,'초등학교+병설유치원(8월)'!T35)</x:f>
        <x:v>0</x:v>
      </x:c>
      <x:c r="I431" s="294" t="n">
        <x:f>IF('초등학교+병설유치원(8월)'!U35="",0,'초등학교+병설유치원(8월)'!U35)</x:f>
        <x:v>0</x:v>
      </x:c>
      <x:c r="J431" s="296" t="n">
        <x:f>SUM(E431:I431)</x:f>
        <x:v>21</x:v>
      </x:c>
      <x:c r="K431" s="291" t="str">
        <x:v>8월</x:v>
      </x:c>
    </x:row>
    <x:row r="432">
      <x:c r="A432" s="291" t="n">
        <x:f>IF('초등학교+병설유치원(8월)'!A35="","",'초등학교+병설유치원(8월)'!A35)</x:f>
        <x:v>21</x:v>
      </x:c>
      <x:c r="B432" s="291" t="str">
        <x:v>초등학교</x:v>
      </x:c>
      <x:c r="C432" s="291" t="str">
        <x:f>IF('초등학교+병설유치원(8월)'!B35="","",'초등학교+병설유치원(8월)'!B35)</x:f>
        <x:v>이리신동초</x:v>
      </x:c>
      <x:c r="D432" s="293" t="n">
        <x:v>46238</x:v>
      </x:c>
      <x:c r="E432" s="294" t="n">
        <x:f>IF('초등학교+병설유치원(8월)'!W35="",0,'초등학교+병설유치원(8월)'!W35)</x:f>
        <x:v>21</x:v>
      </x:c>
      <x:c r="F432" s="294" t="n">
        <x:f>IF('초등학교+병설유치원(8월)'!X35="",0,'초등학교+병설유치원(8월)'!X35)</x:f>
        <x:v>0</x:v>
      </x:c>
      <x:c r="G432" s="294" t="n">
        <x:f>IF('초등학교+병설유치원(8월)'!Y35="",0,'초등학교+병설유치원(8월)'!Y35)</x:f>
        <x:v>0</x:v>
      </x:c>
      <x:c r="H432" s="294" t="n">
        <x:f>IF('초등학교+병설유치원(8월)'!Z35="",0,'초등학교+병설유치원(8월)'!Z35)</x:f>
        <x:v>0</x:v>
      </x:c>
      <x:c r="I432" s="294" t="n">
        <x:f>IF('초등학교+병설유치원(8월)'!AA35="",0,'초등학교+병설유치원(8월)'!AA35)</x:f>
        <x:v>0</x:v>
      </x:c>
      <x:c r="J432" s="296" t="n">
        <x:f>SUM(E432:I432)</x:f>
        <x:v>21</x:v>
      </x:c>
      <x:c r="K432" s="291" t="str">
        <x:v>8월</x:v>
      </x:c>
    </x:row>
    <x:row r="433">
      <x:c r="A433" s="291" t="n">
        <x:f>IF('초등학교+병설유치원(8월)'!A35="","",'초등학교+병설유치원(8월)'!A35)</x:f>
        <x:v>21</x:v>
      </x:c>
      <x:c r="B433" s="291" t="str">
        <x:v>초등학교</x:v>
      </x:c>
      <x:c r="C433" s="291" t="str">
        <x:f>IF('초등학교+병설유치원(8월)'!B35="","",'초등학교+병설유치원(8월)'!B35)</x:f>
        <x:v>이리신동초</x:v>
      </x:c>
      <x:c r="D433" s="293" t="n">
        <x:v>46239</x:v>
      </x:c>
      <x:c r="E433" s="294" t="n">
        <x:f>IF('초등학교+병설유치원(8월)'!AC35="",0,'초등학교+병설유치원(8월)'!AC35)</x:f>
        <x:v>21</x:v>
      </x:c>
      <x:c r="F433" s="294" t="n">
        <x:f>IF('초등학교+병설유치원(8월)'!AD35="",0,'초등학교+병설유치원(8월)'!AD35)</x:f>
        <x:v>0</x:v>
      </x:c>
      <x:c r="G433" s="294" t="n">
        <x:f>IF('초등학교+병설유치원(8월)'!AE35="",0,'초등학교+병설유치원(8월)'!AE35)</x:f>
        <x:v>0</x:v>
      </x:c>
      <x:c r="H433" s="294" t="n">
        <x:f>IF('초등학교+병설유치원(8월)'!AF35="",0,'초등학교+병설유치원(8월)'!AF35)</x:f>
        <x:v>0</x:v>
      </x:c>
      <x:c r="I433" s="294" t="n">
        <x:f>IF('초등학교+병설유치원(8월)'!AG35="",0,'초등학교+병설유치원(8월)'!AG35)</x:f>
        <x:v>0</x:v>
      </x:c>
      <x:c r="J433" s="296" t="n">
        <x:f>SUM(E433:I433)</x:f>
        <x:v>21</x:v>
      </x:c>
      <x:c r="K433" s="291" t="str">
        <x:v>8월</x:v>
      </x:c>
    </x:row>
    <x:row r="434">
      <x:c r="A434" s="291" t="n">
        <x:f>IF('초등학교+병설유치원(8월)'!A35="","",'초등학교+병설유치원(8월)'!A35)</x:f>
        <x:v>21</x:v>
      </x:c>
      <x:c r="B434" s="291" t="str">
        <x:v>초등학교</x:v>
      </x:c>
      <x:c r="C434" s="291" t="str">
        <x:f>IF('초등학교+병설유치원(8월)'!B35="","",'초등학교+병설유치원(8월)'!B35)</x:f>
        <x:v>이리신동초</x:v>
      </x:c>
      <x:c r="D434" s="293" t="n">
        <x:v>46240</x:v>
      </x:c>
      <x:c r="E434" s="294" t="n">
        <x:f>IF('초등학교+병설유치원(8월)'!AI35="",0,'초등학교+병설유치원(8월)'!AI35)</x:f>
        <x:v>21</x:v>
      </x:c>
      <x:c r="F434" s="294" t="n">
        <x:f>IF('초등학교+병설유치원(8월)'!AJ35="",0,'초등학교+병설유치원(8월)'!AJ35)</x:f>
        <x:v>0</x:v>
      </x:c>
      <x:c r="G434" s="294" t="n">
        <x:f>IF('초등학교+병설유치원(8월)'!AK35="",0,'초등학교+병설유치원(8월)'!AK35)</x:f>
        <x:v>0</x:v>
      </x:c>
      <x:c r="H434" s="294" t="n">
        <x:f>IF('초등학교+병설유치원(8월)'!AL35="",0,'초등학교+병설유치원(8월)'!AL35)</x:f>
        <x:v>0</x:v>
      </x:c>
      <x:c r="I434" s="294" t="n">
        <x:f>IF('초등학교+병설유치원(8월)'!AM35="",0,'초등학교+병설유치원(8월)'!AM35)</x:f>
        <x:v>0</x:v>
      </x:c>
      <x:c r="J434" s="296" t="n">
        <x:f>SUM(E434:I434)</x:f>
        <x:v>21</x:v>
      </x:c>
      <x:c r="K434" s="291" t="str">
        <x:v>8월</x:v>
      </x:c>
    </x:row>
    <x:row r="435">
      <x:c r="A435" s="291" t="n">
        <x:f>IF('초등학교+병설유치원(8월)'!A35="","",'초등학교+병설유치원(8월)'!A35)</x:f>
        <x:v>21</x:v>
      </x:c>
      <x:c r="B435" s="291" t="str">
        <x:v>초등학교</x:v>
      </x:c>
      <x:c r="C435" s="291" t="str">
        <x:f>IF('초등학교+병설유치원(8월)'!B35="","",'초등학교+병설유치원(8월)'!B35)</x:f>
        <x:v>이리신동초</x:v>
      </x:c>
      <x:c r="D435" s="293" t="n">
        <x:v>46241</x:v>
      </x:c>
      <x:c r="E435" s="294" t="n">
        <x:f>IF('초등학교+병설유치원(8월)'!AO35="",0,'초등학교+병설유치원(8월)'!AO35)</x:f>
        <x:v>21</x:v>
      </x:c>
      <x:c r="F435" s="294" t="n">
        <x:f>IF('초등학교+병설유치원(8월)'!AP35="",0,'초등학교+병설유치원(8월)'!AP35)</x:f>
        <x:v>0</x:v>
      </x:c>
      <x:c r="G435" s="294" t="n">
        <x:f>IF('초등학교+병설유치원(8월)'!AQ35="",0,'초등학교+병설유치원(8월)'!AQ35)</x:f>
        <x:v>0</x:v>
      </x:c>
      <x:c r="H435" s="294" t="n">
        <x:f>IF('초등학교+병설유치원(8월)'!AR35="",0,'초등학교+병설유치원(8월)'!AR35)</x:f>
        <x:v>0</x:v>
      </x:c>
      <x:c r="I435" s="294" t="n">
        <x:f>IF('초등학교+병설유치원(8월)'!AS35="",0,'초등학교+병설유치원(8월)'!AS35)</x:f>
        <x:v>0</x:v>
      </x:c>
      <x:c r="J435" s="296" t="n">
        <x:f>SUM(E435:I435)</x:f>
        <x:v>21</x:v>
      </x:c>
      <x:c r="K435" s="291" t="str">
        <x:v>8월</x:v>
      </x:c>
    </x:row>
    <x:row r="436">
      <x:c r="A436" s="291" t="n">
        <x:f>IF('초등학교+병설유치원(8월)'!A35="","",'초등학교+병설유치원(8월)'!A35)</x:f>
        <x:v>21</x:v>
      </x:c>
      <x:c r="B436" s="291" t="str">
        <x:v>초등학교</x:v>
      </x:c>
      <x:c r="C436" s="291" t="str">
        <x:f>IF('초등학교+병설유치원(8월)'!B35="","",'초등학교+병설유치원(8월)'!B35)</x:f>
        <x:v>이리신동초</x:v>
      </x:c>
      <x:c r="D436" s="293" t="n">
        <x:v>46244</x:v>
      </x:c>
      <x:c r="E436" s="294" t="n">
        <x:f>IF('초등학교+병설유치원(8월)'!AU35="",0,'초등학교+병설유치원(8월)'!AU35)</x:f>
        <x:v>21</x:v>
      </x:c>
      <x:c r="F436" s="294" t="n">
        <x:f>IF('초등학교+병설유치원(8월)'!AV35="",0,'초등학교+병설유치원(8월)'!AV35)</x:f>
        <x:v>0</x:v>
      </x:c>
      <x:c r="G436" s="294" t="n">
        <x:f>IF('초등학교+병설유치원(8월)'!AW35="",0,'초등학교+병설유치원(8월)'!AW35)</x:f>
        <x:v>0</x:v>
      </x:c>
      <x:c r="H436" s="294" t="n">
        <x:f>IF('초등학교+병설유치원(8월)'!AX35="",0,'초등학교+병설유치원(8월)'!AX35)</x:f>
        <x:v>0</x:v>
      </x:c>
      <x:c r="I436" s="294" t="n">
        <x:f>IF('초등학교+병설유치원(8월)'!AY35="",0,'초등학교+병설유치원(8월)'!AY35)</x:f>
        <x:v>0</x:v>
      </x:c>
      <x:c r="J436" s="296" t="n">
        <x:f>SUM(E436:I436)</x:f>
        <x:v>21</x:v>
      </x:c>
      <x:c r="K436" s="291" t="str">
        <x:v>8월</x:v>
      </x:c>
    </x:row>
    <x:row r="437">
      <x:c r="A437" s="291" t="n">
        <x:f>IF('초등학교+병설유치원(8월)'!A35="","",'초등학교+병설유치원(8월)'!A35)</x:f>
        <x:v>21</x:v>
      </x:c>
      <x:c r="B437" s="291" t="str">
        <x:v>초등학교</x:v>
      </x:c>
      <x:c r="C437" s="291" t="str">
        <x:f>IF('초등학교+병설유치원(8월)'!B35="","",'초등학교+병설유치원(8월)'!B35)</x:f>
        <x:v>이리신동초</x:v>
      </x:c>
      <x:c r="D437" s="293" t="n">
        <x:v>46245</x:v>
      </x:c>
      <x:c r="E437" s="294" t="n">
        <x:f>IF('초등학교+병설유치원(8월)'!BA35="",0,'초등학교+병설유치원(8월)'!BA35)</x:f>
        <x:v>21</x:v>
      </x:c>
      <x:c r="F437" s="294" t="n">
        <x:f>IF('초등학교+병설유치원(8월)'!BB35="",0,'초등학교+병설유치원(8월)'!BB35)</x:f>
        <x:v>0</x:v>
      </x:c>
      <x:c r="G437" s="294" t="n">
        <x:f>IF('초등학교+병설유치원(8월)'!BC35="",0,'초등학교+병설유치원(8월)'!BC35)</x:f>
        <x:v>0</x:v>
      </x:c>
      <x:c r="H437" s="294" t="n">
        <x:f>IF('초등학교+병설유치원(8월)'!BD35="",0,'초등학교+병설유치원(8월)'!BD35)</x:f>
        <x:v>0</x:v>
      </x:c>
      <x:c r="I437" s="294" t="n">
        <x:f>IF('초등학교+병설유치원(8월)'!BE35="",0,'초등학교+병설유치원(8월)'!BE35)</x:f>
        <x:v>0</x:v>
      </x:c>
      <x:c r="J437" s="296" t="n">
        <x:f>SUM(E437:I437)</x:f>
        <x:v>21</x:v>
      </x:c>
      <x:c r="K437" s="291" t="str">
        <x:v>8월</x:v>
      </x:c>
    </x:row>
    <x:row r="438">
      <x:c r="A438" s="291" t="n">
        <x:f>IF('초등학교+병설유치원(8월)'!A35="","",'초등학교+병설유치원(8월)'!A35)</x:f>
        <x:v>21</x:v>
      </x:c>
      <x:c r="B438" s="291" t="str">
        <x:v>초등학교</x:v>
      </x:c>
      <x:c r="C438" s="291" t="str">
        <x:f>IF('초등학교+병설유치원(8월)'!B35="","",'초등학교+병설유치원(8월)'!B35)</x:f>
        <x:v>이리신동초</x:v>
      </x:c>
      <x:c r="D438" s="293" t="n">
        <x:v>46246</x:v>
      </x:c>
      <x:c r="E438" s="294" t="n">
        <x:f>IF('초등학교+병설유치원(8월)'!BG35="",0,'초등학교+병설유치원(8월)'!BG35)</x:f>
        <x:v>21</x:v>
      </x:c>
      <x:c r="F438" s="294" t="n">
        <x:f>IF('초등학교+병설유치원(8월)'!BH35="",0,'초등학교+병설유치원(8월)'!BH35)</x:f>
        <x:v>0</x:v>
      </x:c>
      <x:c r="G438" s="294" t="n">
        <x:f>IF('초등학교+병설유치원(8월)'!BI35="",0,'초등학교+병설유치원(8월)'!BI35)</x:f>
        <x:v>0</x:v>
      </x:c>
      <x:c r="H438" s="294" t="n">
        <x:f>IF('초등학교+병설유치원(8월)'!BJ35="",0,'초등학교+병설유치원(8월)'!BJ35)</x:f>
        <x:v>0</x:v>
      </x:c>
      <x:c r="I438" s="294" t="n">
        <x:f>IF('초등학교+병설유치원(8월)'!BK35="",0,'초등학교+병설유치원(8월)'!BK35)</x:f>
        <x:v>0</x:v>
      </x:c>
      <x:c r="J438" s="296" t="n">
        <x:f>SUM(E438:I438)</x:f>
        <x:v>21</x:v>
      </x:c>
      <x:c r="K438" s="291" t="str">
        <x:v>8월</x:v>
      </x:c>
    </x:row>
    <x:row r="439">
      <x:c r="A439" s="291" t="n">
        <x:f>IF('초등학교+병설유치원(8월)'!A35="","",'초등학교+병설유치원(8월)'!A35)</x:f>
        <x:v>21</x:v>
      </x:c>
      <x:c r="B439" s="291" t="str">
        <x:v>초등학교</x:v>
      </x:c>
      <x:c r="C439" s="291" t="str">
        <x:f>IF('초등학교+병설유치원(8월)'!B35="","",'초등학교+병설유치원(8월)'!B35)</x:f>
        <x:v>이리신동초</x:v>
      </x:c>
      <x:c r="D439" s="293" t="n">
        <x:v>46247</x:v>
      </x:c>
      <x:c r="E439" s="294" t="n">
        <x:f>IF('초등학교+병설유치원(8월)'!BM35="",0,'초등학교+병설유치원(8월)'!BM35)</x:f>
        <x:v>21</x:v>
      </x:c>
      <x:c r="F439" s="294" t="n">
        <x:f>IF('초등학교+병설유치원(8월)'!BN35="",0,'초등학교+병설유치원(8월)'!BN35)</x:f>
        <x:v>0</x:v>
      </x:c>
      <x:c r="G439" s="294" t="n">
        <x:f>IF('초등학교+병설유치원(8월)'!BO35="",0,'초등학교+병설유치원(8월)'!BO35)</x:f>
        <x:v>0</x:v>
      </x:c>
      <x:c r="H439" s="294" t="n">
        <x:f>IF('초등학교+병설유치원(8월)'!BP35="",0,'초등학교+병설유치원(8월)'!BP35)</x:f>
        <x:v>0</x:v>
      </x:c>
      <x:c r="I439" s="294" t="n">
        <x:f>IF('초등학교+병설유치원(8월)'!BQ35="",0,'초등학교+병설유치원(8월)'!BQ35)</x:f>
        <x:v>0</x:v>
      </x:c>
      <x:c r="J439" s="296" t="n">
        <x:f>SUM(E439:I439)</x:f>
        <x:v>21</x:v>
      </x:c>
      <x:c r="K439" s="291" t="str">
        <x:v>8월</x:v>
      </x:c>
    </x:row>
    <x:row r="440">
      <x:c r="A440" s="291" t="n">
        <x:f>IF('초등학교+병설유치원(8월)'!A35="","",'초등학교+병설유치원(8월)'!A35)</x:f>
        <x:v>21</x:v>
      </x:c>
      <x:c r="B440" s="291" t="str">
        <x:v>초등학교</x:v>
      </x:c>
      <x:c r="C440" s="291" t="str">
        <x:f>IF('초등학교+병설유치원(8월)'!B35="","",'초등학교+병설유치원(8월)'!B35)</x:f>
        <x:v>이리신동초</x:v>
      </x:c>
      <x:c r="D440" s="293" t="n">
        <x:v>46248</x:v>
      </x:c>
      <x:c r="E440" s="294" t="n">
        <x:f>IF('초등학교+병설유치원(8월)'!BS35="",0,'초등학교+병설유치원(8월)'!BS35)</x:f>
        <x:v>21</x:v>
      </x:c>
      <x:c r="F440" s="294" t="n">
        <x:f>IF('초등학교+병설유치원(8월)'!BT35="",0,'초등학교+병설유치원(8월)'!BT35)</x:f>
        <x:v>0</x:v>
      </x:c>
      <x:c r="G440" s="294" t="n">
        <x:f>IF('초등학교+병설유치원(8월)'!BU35="",0,'초등학교+병설유치원(8월)'!BU35)</x:f>
        <x:v>0</x:v>
      </x:c>
      <x:c r="H440" s="294" t="n">
        <x:f>IF('초등학교+병설유치원(8월)'!BV35="",0,'초등학교+병설유치원(8월)'!BV35)</x:f>
        <x:v>0</x:v>
      </x:c>
      <x:c r="I440" s="294" t="n">
        <x:f>IF('초등학교+병설유치원(8월)'!BW35="",0,'초등학교+병설유치원(8월)'!BW35)</x:f>
        <x:v>0</x:v>
      </x:c>
      <x:c r="J440" s="296" t="n">
        <x:f>SUM(E440:I440)</x:f>
        <x:v>21</x:v>
      </x:c>
      <x:c r="K440" s="291" t="str">
        <x:v>8월</x:v>
      </x:c>
    </x:row>
    <x:row r="441">
      <x:c r="A441" s="291" t="n">
        <x:f>IF('초등학교+병설유치원(8월)'!A35="","",'초등학교+병설유치원(8월)'!A35)</x:f>
        <x:v>21</x:v>
      </x:c>
      <x:c r="B441" s="291" t="str">
        <x:v>초등학교</x:v>
      </x:c>
      <x:c r="C441" s="291" t="str">
        <x:f>IF('초등학교+병설유치원(8월)'!B35="","",'초등학교+병설유치원(8월)'!B35)</x:f>
        <x:v>이리신동초</x:v>
      </x:c>
      <x:c r="D441" s="293" t="n">
        <x:v>46254</x:v>
      </x:c>
      <x:c r="E441" s="294" t="n">
        <x:f>IF('초등학교+병설유치원(8월)'!CK35="",0,'초등학교+병설유치원(8월)'!CK35)</x:f>
        <x:v>21</x:v>
      </x:c>
      <x:c r="F441" s="294" t="n">
        <x:f>IF('초등학교+병설유치원(8월)'!CL35="",0,'초등학교+병설유치원(8월)'!CL35)</x:f>
        <x:v>0</x:v>
      </x:c>
      <x:c r="G441" s="294" t="n">
        <x:f>IF('초등학교+병설유치원(8월)'!CM35="",0,'초등학교+병설유치원(8월)'!CM35)</x:f>
        <x:v>0</x:v>
      </x:c>
      <x:c r="H441" s="294" t="n">
        <x:f>IF('초등학교+병설유치원(8월)'!CN35="",0,'초등학교+병설유치원(8월)'!CN35)</x:f>
        <x:v>0</x:v>
      </x:c>
      <x:c r="I441" s="294" t="n">
        <x:f>IF('초등학교+병설유치원(8월)'!CO35="",0,'초등학교+병설유치원(8월)'!CO35)</x:f>
        <x:v>0</x:v>
      </x:c>
      <x:c r="J441" s="296" t="n">
        <x:f>SUM(E441:I441)</x:f>
        <x:v>21</x:v>
      </x:c>
      <x:c r="K441" s="291" t="str">
        <x:v>8월</x:v>
      </x:c>
    </x:row>
    <x:row r="442">
      <x:c r="A442" s="291" t="n">
        <x:f>IF('초등학교+병설유치원(8월)'!A35="","",'초등학교+병설유치원(8월)'!A35)</x:f>
        <x:v>21</x:v>
      </x:c>
      <x:c r="B442" s="291" t="str">
        <x:v>초등학교</x:v>
      </x:c>
      <x:c r="C442" s="291" t="str">
        <x:f>IF('초등학교+병설유치원(8월)'!B35="","",'초등학교+병설유치원(8월)'!B35)</x:f>
        <x:v>이리신동초</x:v>
      </x:c>
      <x:c r="D442" s="293" t="n">
        <x:v>46255</x:v>
      </x:c>
      <x:c r="E442" s="294" t="n">
        <x:f>IF('초등학교+병설유치원(8월)'!CQ35="",0,'초등학교+병설유치원(8월)'!CQ35)</x:f>
        <x:v>21</x:v>
      </x:c>
      <x:c r="F442" s="294" t="n">
        <x:f>IF('초등학교+병설유치원(8월)'!CR35="",0,'초등학교+병설유치원(8월)'!CR35)</x:f>
        <x:v>0</x:v>
      </x:c>
      <x:c r="G442" s="294" t="n">
        <x:f>IF('초등학교+병설유치원(8월)'!CS35="",0,'초등학교+병설유치원(8월)'!CS35)</x:f>
        <x:v>0</x:v>
      </x:c>
      <x:c r="H442" s="294" t="n">
        <x:f>IF('초등학교+병설유치원(8월)'!CT35="",0,'초등학교+병설유치원(8월)'!CT35)</x:f>
        <x:v>0</x:v>
      </x:c>
      <x:c r="I442" s="294" t="n">
        <x:f>IF('초등학교+병설유치원(8월)'!CU35="",0,'초등학교+병설유치원(8월)'!CU35)</x:f>
        <x:v>0</x:v>
      </x:c>
      <x:c r="J442" s="296" t="n">
        <x:f>SUM(E442:I442)</x:f>
        <x:v>21</x:v>
      </x:c>
      <x:c r="K442" s="291" t="str">
        <x:v>8월</x:v>
      </x:c>
    </x:row>
    <x:row r="443">
      <x:c r="A443" s="291" t="n">
        <x:f>IF('초등학교+병설유치원(8월)'!A36="","",'초등학교+병설유치원(8월)'!A36)</x:f>
        <x:v>22</x:v>
      </x:c>
      <x:c r="B443" s="291" t="str">
        <x:v>초등학교</x:v>
      </x:c>
      <x:c r="C443" s="291" t="str">
        <x:f>IF('초등학교+병설유치원(8월)'!B36="","",'초등학교+병설유치원(8월)'!B36)</x:f>
        <x:v>이리신흥초</x:v>
      </x:c>
      <x:c r="D443" s="293" t="n">
        <x:v>46237</x:v>
      </x:c>
      <x:c r="E443" s="294" t="n">
        <x:f>IF('초등학교+병설유치원(8월)'!Q36="",0,'초등학교+병설유치원(8월)'!Q36)</x:f>
        <x:v>21</x:v>
      </x:c>
      <x:c r="F443" s="294" t="n">
        <x:f>IF('초등학교+병설유치원(8월)'!R36="",0,'초등학교+병설유치원(8월)'!R36)</x:f>
        <x:v>0</x:v>
      </x:c>
      <x:c r="G443" s="294" t="n">
        <x:f>IF('초등학교+병설유치원(8월)'!S36="",0,'초등학교+병설유치원(8월)'!S36)</x:f>
        <x:v>0</x:v>
      </x:c>
      <x:c r="H443" s="294" t="n">
        <x:f>IF('초등학교+병설유치원(8월)'!T36="",0,'초등학교+병설유치원(8월)'!T36)</x:f>
        <x:v>0</x:v>
      </x:c>
      <x:c r="I443" s="294" t="n">
        <x:f>IF('초등학교+병설유치원(8월)'!U36="",0,'초등학교+병설유치원(8월)'!U36)</x:f>
        <x:v>0</x:v>
      </x:c>
      <x:c r="J443" s="296" t="n">
        <x:f>SUM(E443:I443)</x:f>
        <x:v>21</x:v>
      </x:c>
      <x:c r="K443" s="291" t="str">
        <x:v>8월</x:v>
      </x:c>
    </x:row>
    <x:row r="444">
      <x:c r="A444" s="291" t="n">
        <x:f>IF('초등학교+병설유치원(8월)'!A36="","",'초등학교+병설유치원(8월)'!A36)</x:f>
        <x:v>22</x:v>
      </x:c>
      <x:c r="B444" s="291" t="str">
        <x:v>초등학교</x:v>
      </x:c>
      <x:c r="C444" s="291" t="str">
        <x:f>IF('초등학교+병설유치원(8월)'!B36="","",'초등학교+병설유치원(8월)'!B36)</x:f>
        <x:v>이리신흥초</x:v>
      </x:c>
      <x:c r="D444" s="293" t="n">
        <x:v>46238</x:v>
      </x:c>
      <x:c r="E444" s="294" t="n">
        <x:f>IF('초등학교+병설유치원(8월)'!W36="",0,'초등학교+병설유치원(8월)'!W36)</x:f>
        <x:v>21</x:v>
      </x:c>
      <x:c r="F444" s="294" t="n">
        <x:f>IF('초등학교+병설유치원(8월)'!X36="",0,'초등학교+병설유치원(8월)'!X36)</x:f>
        <x:v>0</x:v>
      </x:c>
      <x:c r="G444" s="294" t="n">
        <x:f>IF('초등학교+병설유치원(8월)'!Y36="",0,'초등학교+병설유치원(8월)'!Y36)</x:f>
        <x:v>0</x:v>
      </x:c>
      <x:c r="H444" s="294" t="n">
        <x:f>IF('초등학교+병설유치원(8월)'!Z36="",0,'초등학교+병설유치원(8월)'!Z36)</x:f>
        <x:v>0</x:v>
      </x:c>
      <x:c r="I444" s="294" t="n">
        <x:f>IF('초등학교+병설유치원(8월)'!AA36="",0,'초등학교+병설유치원(8월)'!AA36)</x:f>
        <x:v>0</x:v>
      </x:c>
      <x:c r="J444" s="296" t="n">
        <x:f>SUM(E444:I444)</x:f>
        <x:v>21</x:v>
      </x:c>
      <x:c r="K444" s="291" t="str">
        <x:v>8월</x:v>
      </x:c>
    </x:row>
    <x:row r="445">
      <x:c r="A445" s="291" t="n">
        <x:f>IF('초등학교+병설유치원(8월)'!A36="","",'초등학교+병설유치원(8월)'!A36)</x:f>
        <x:v>22</x:v>
      </x:c>
      <x:c r="B445" s="291" t="str">
        <x:v>초등학교</x:v>
      </x:c>
      <x:c r="C445" s="291" t="str">
        <x:f>IF('초등학교+병설유치원(8월)'!B36="","",'초등학교+병설유치원(8월)'!B36)</x:f>
        <x:v>이리신흥초</x:v>
      </x:c>
      <x:c r="D445" s="293" t="n">
        <x:v>46239</x:v>
      </x:c>
      <x:c r="E445" s="294" t="n">
        <x:f>IF('초등학교+병설유치원(8월)'!AC36="",0,'초등학교+병설유치원(8월)'!AC36)</x:f>
        <x:v>21</x:v>
      </x:c>
      <x:c r="F445" s="294" t="n">
        <x:f>IF('초등학교+병설유치원(8월)'!AD36="",0,'초등학교+병설유치원(8월)'!AD36)</x:f>
        <x:v>0</x:v>
      </x:c>
      <x:c r="G445" s="294" t="n">
        <x:f>IF('초등학교+병설유치원(8월)'!AE36="",0,'초등학교+병설유치원(8월)'!AE36)</x:f>
        <x:v>0</x:v>
      </x:c>
      <x:c r="H445" s="294" t="n">
        <x:f>IF('초등학교+병설유치원(8월)'!AF36="",0,'초등학교+병설유치원(8월)'!AF36)</x:f>
        <x:v>0</x:v>
      </x:c>
      <x:c r="I445" s="294" t="n">
        <x:f>IF('초등학교+병설유치원(8월)'!AG36="",0,'초등학교+병설유치원(8월)'!AG36)</x:f>
        <x:v>0</x:v>
      </x:c>
      <x:c r="J445" s="296" t="n">
        <x:f>SUM(E445:I445)</x:f>
        <x:v>21</x:v>
      </x:c>
      <x:c r="K445" s="291" t="str">
        <x:v>8월</x:v>
      </x:c>
    </x:row>
    <x:row r="446">
      <x:c r="A446" s="291" t="n">
        <x:f>IF('초등학교+병설유치원(8월)'!A36="","",'초등학교+병설유치원(8월)'!A36)</x:f>
        <x:v>22</x:v>
      </x:c>
      <x:c r="B446" s="291" t="str">
        <x:v>초등학교</x:v>
      </x:c>
      <x:c r="C446" s="291" t="str">
        <x:f>IF('초등학교+병설유치원(8월)'!B36="","",'초등학교+병설유치원(8월)'!B36)</x:f>
        <x:v>이리신흥초</x:v>
      </x:c>
      <x:c r="D446" s="293" t="n">
        <x:v>46240</x:v>
      </x:c>
      <x:c r="E446" s="294" t="n">
        <x:f>IF('초등학교+병설유치원(8월)'!AI36="",0,'초등학교+병설유치원(8월)'!AI36)</x:f>
        <x:v>21</x:v>
      </x:c>
      <x:c r="F446" s="294" t="n">
        <x:f>IF('초등학교+병설유치원(8월)'!AJ36="",0,'초등학교+병설유치원(8월)'!AJ36)</x:f>
        <x:v>0</x:v>
      </x:c>
      <x:c r="G446" s="294" t="n">
        <x:f>IF('초등학교+병설유치원(8월)'!AK36="",0,'초등학교+병설유치원(8월)'!AK36)</x:f>
        <x:v>0</x:v>
      </x:c>
      <x:c r="H446" s="294" t="n">
        <x:f>IF('초등학교+병설유치원(8월)'!AL36="",0,'초등학교+병설유치원(8월)'!AL36)</x:f>
        <x:v>0</x:v>
      </x:c>
      <x:c r="I446" s="294" t="n">
        <x:f>IF('초등학교+병설유치원(8월)'!AM36="",0,'초등학교+병설유치원(8월)'!AM36)</x:f>
        <x:v>0</x:v>
      </x:c>
      <x:c r="J446" s="296" t="n">
        <x:f>SUM(E446:I446)</x:f>
        <x:v>21</x:v>
      </x:c>
      <x:c r="K446" s="291" t="str">
        <x:v>8월</x:v>
      </x:c>
    </x:row>
    <x:row r="447">
      <x:c r="A447" s="291" t="n">
        <x:f>IF('초등학교+병설유치원(8월)'!A36="","",'초등학교+병설유치원(8월)'!A36)</x:f>
        <x:v>22</x:v>
      </x:c>
      <x:c r="B447" s="291" t="str">
        <x:v>초등학교</x:v>
      </x:c>
      <x:c r="C447" s="291" t="str">
        <x:f>IF('초등학교+병설유치원(8월)'!B36="","",'초등학교+병설유치원(8월)'!B36)</x:f>
        <x:v>이리신흥초</x:v>
      </x:c>
      <x:c r="D447" s="293" t="n">
        <x:v>46241</x:v>
      </x:c>
      <x:c r="E447" s="294" t="n">
        <x:f>IF('초등학교+병설유치원(8월)'!AO36="",0,'초등학교+병설유치원(8월)'!AO36)</x:f>
        <x:v>21</x:v>
      </x:c>
      <x:c r="F447" s="294" t="n">
        <x:f>IF('초등학교+병설유치원(8월)'!AP36="",0,'초등학교+병설유치원(8월)'!AP36)</x:f>
        <x:v>0</x:v>
      </x:c>
      <x:c r="G447" s="294" t="n">
        <x:f>IF('초등학교+병설유치원(8월)'!AQ36="",0,'초등학교+병설유치원(8월)'!AQ36)</x:f>
        <x:v>0</x:v>
      </x:c>
      <x:c r="H447" s="294" t="n">
        <x:f>IF('초등학교+병설유치원(8월)'!AR36="",0,'초등학교+병설유치원(8월)'!AR36)</x:f>
        <x:v>0</x:v>
      </x:c>
      <x:c r="I447" s="294" t="n">
        <x:f>IF('초등학교+병설유치원(8월)'!AS36="",0,'초등학교+병설유치원(8월)'!AS36)</x:f>
        <x:v>0</x:v>
      </x:c>
      <x:c r="J447" s="296" t="n">
        <x:f>SUM(E447:I447)</x:f>
        <x:v>21</x:v>
      </x:c>
      <x:c r="K447" s="291" t="str">
        <x:v>8월</x:v>
      </x:c>
    </x:row>
    <x:row r="448">
      <x:c r="A448" s="291" t="n">
        <x:f>IF('초등학교+병설유치원(8월)'!A36="","",'초등학교+병설유치원(8월)'!A36)</x:f>
        <x:v>22</x:v>
      </x:c>
      <x:c r="B448" s="291" t="str">
        <x:v>초등학교</x:v>
      </x:c>
      <x:c r="C448" s="291" t="str">
        <x:f>IF('초등학교+병설유치원(8월)'!B36="","",'초등학교+병설유치원(8월)'!B36)</x:f>
        <x:v>이리신흥초</x:v>
      </x:c>
      <x:c r="D448" s="293" t="n">
        <x:v>46244</x:v>
      </x:c>
      <x:c r="E448" s="294" t="n">
        <x:f>IF('초등학교+병설유치원(8월)'!AU36="",0,'초등학교+병설유치원(8월)'!AU36)</x:f>
        <x:v>21</x:v>
      </x:c>
      <x:c r="F448" s="294" t="n">
        <x:f>IF('초등학교+병설유치원(8월)'!AV36="",0,'초등학교+병설유치원(8월)'!AV36)</x:f>
        <x:v>0</x:v>
      </x:c>
      <x:c r="G448" s="294" t="n">
        <x:f>IF('초등학교+병설유치원(8월)'!AW36="",0,'초등학교+병설유치원(8월)'!AW36)</x:f>
        <x:v>0</x:v>
      </x:c>
      <x:c r="H448" s="294" t="n">
        <x:f>IF('초등학교+병설유치원(8월)'!AX36="",0,'초등학교+병설유치원(8월)'!AX36)</x:f>
        <x:v>0</x:v>
      </x:c>
      <x:c r="I448" s="294" t="n">
        <x:f>IF('초등학교+병설유치원(8월)'!AY36="",0,'초등학교+병설유치원(8월)'!AY36)</x:f>
        <x:v>0</x:v>
      </x:c>
      <x:c r="J448" s="296" t="n">
        <x:f>SUM(E448:I448)</x:f>
        <x:v>21</x:v>
      </x:c>
      <x:c r="K448" s="291" t="str">
        <x:v>8월</x:v>
      </x:c>
    </x:row>
    <x:row r="449">
      <x:c r="A449" s="291" t="n">
        <x:f>IF('초등학교+병설유치원(8월)'!A36="","",'초등학교+병설유치원(8월)'!A36)</x:f>
        <x:v>22</x:v>
      </x:c>
      <x:c r="B449" s="291" t="str">
        <x:v>초등학교</x:v>
      </x:c>
      <x:c r="C449" s="291" t="str">
        <x:f>IF('초등학교+병설유치원(8월)'!B36="","",'초등학교+병설유치원(8월)'!B36)</x:f>
        <x:v>이리신흥초</x:v>
      </x:c>
      <x:c r="D449" s="293" t="n">
        <x:v>46245</x:v>
      </x:c>
      <x:c r="E449" s="294" t="n">
        <x:f>IF('초등학교+병설유치원(8월)'!BA36="",0,'초등학교+병설유치원(8월)'!BA36)</x:f>
        <x:v>21</x:v>
      </x:c>
      <x:c r="F449" s="294" t="n">
        <x:f>IF('초등학교+병설유치원(8월)'!BB36="",0,'초등학교+병설유치원(8월)'!BB36)</x:f>
        <x:v>0</x:v>
      </x:c>
      <x:c r="G449" s="294" t="n">
        <x:f>IF('초등학교+병설유치원(8월)'!BC36="",0,'초등학교+병설유치원(8월)'!BC36)</x:f>
        <x:v>0</x:v>
      </x:c>
      <x:c r="H449" s="294" t="n">
        <x:f>IF('초등학교+병설유치원(8월)'!BD36="",0,'초등학교+병설유치원(8월)'!BD36)</x:f>
        <x:v>0</x:v>
      </x:c>
      <x:c r="I449" s="294" t="n">
        <x:f>IF('초등학교+병설유치원(8월)'!BE36="",0,'초등학교+병설유치원(8월)'!BE36)</x:f>
        <x:v>0</x:v>
      </x:c>
      <x:c r="J449" s="296" t="n">
        <x:f>SUM(E449:I449)</x:f>
        <x:v>21</x:v>
      </x:c>
      <x:c r="K449" s="291" t="str">
        <x:v>8월</x:v>
      </x:c>
    </x:row>
    <x:row r="450">
      <x:c r="A450" s="291" t="n">
        <x:f>IF('초등학교+병설유치원(8월)'!A36="","",'초등학교+병설유치원(8월)'!A36)</x:f>
        <x:v>22</x:v>
      </x:c>
      <x:c r="B450" s="291" t="str">
        <x:v>초등학교</x:v>
      </x:c>
      <x:c r="C450" s="291" t="str">
        <x:f>IF('초등학교+병설유치원(8월)'!B36="","",'초등학교+병설유치원(8월)'!B36)</x:f>
        <x:v>이리신흥초</x:v>
      </x:c>
      <x:c r="D450" s="293" t="n">
        <x:v>46246</x:v>
      </x:c>
      <x:c r="E450" s="294" t="n">
        <x:f>IF('초등학교+병설유치원(8월)'!BG36="",0,'초등학교+병설유치원(8월)'!BG36)</x:f>
        <x:v>21</x:v>
      </x:c>
      <x:c r="F450" s="294" t="n">
        <x:f>IF('초등학교+병설유치원(8월)'!BH36="",0,'초등학교+병설유치원(8월)'!BH36)</x:f>
        <x:v>0</x:v>
      </x:c>
      <x:c r="G450" s="294" t="n">
        <x:f>IF('초등학교+병설유치원(8월)'!BI36="",0,'초등학교+병설유치원(8월)'!BI36)</x:f>
        <x:v>0</x:v>
      </x:c>
      <x:c r="H450" s="294" t="n">
        <x:f>IF('초등학교+병설유치원(8월)'!BJ36="",0,'초등학교+병설유치원(8월)'!BJ36)</x:f>
        <x:v>0</x:v>
      </x:c>
      <x:c r="I450" s="294" t="n">
        <x:f>IF('초등학교+병설유치원(8월)'!BK36="",0,'초등학교+병설유치원(8월)'!BK36)</x:f>
        <x:v>0</x:v>
      </x:c>
      <x:c r="J450" s="296" t="n">
        <x:f>SUM(E450:I450)</x:f>
        <x:v>21</x:v>
      </x:c>
      <x:c r="K450" s="291" t="str">
        <x:v>8월</x:v>
      </x:c>
    </x:row>
    <x:row r="451">
      <x:c r="A451" s="291" t="str">
        <x:f>IF('초등학교+병설유치원(8월)'!A37="","",'초등학교+병설유치원(8월)'!A37)</x:f>
        <x:v>22-1</x:v>
      </x:c>
      <x:c r="B451" s="291" t="str">
        <x:v>병설유치원</x:v>
      </x:c>
      <x:c r="C451" s="291" t="str">
        <x:f>IF('초등학교+병설유치원(8월)'!B37="","",'초등학교+병설유치원(8월)'!B37)</x:f>
        <x:v>이리신흥초 병설유치원</x:v>
      </x:c>
      <x:c r="D451" s="293" t="n">
        <x:v>46237</x:v>
      </x:c>
      <x:c r="E451" s="294" t="n">
        <x:f>IF('초등학교+병설유치원(8월)'!Q37="",0,'초등학교+병설유치원(8월)'!Q37)</x:f>
        <x:v>2</x:v>
      </x:c>
      <x:c r="F451" s="294" t="n">
        <x:f>IF('초등학교+병설유치원(8월)'!R37="",0,'초등학교+병설유치원(8월)'!R37)</x:f>
        <x:v>0</x:v>
      </x:c>
      <x:c r="G451" s="294" t="n">
        <x:f>IF('초등학교+병설유치원(8월)'!S37="",0,'초등학교+병설유치원(8월)'!S37)</x:f>
        <x:v>0</x:v>
      </x:c>
      <x:c r="H451" s="294" t="n">
        <x:f>IF('초등학교+병설유치원(8월)'!T37="",0,'초등학교+병설유치원(8월)'!T37)</x:f>
        <x:v>0</x:v>
      </x:c>
      <x:c r="I451" s="294" t="n">
        <x:f>IF('초등학교+병설유치원(8월)'!U37="",0,'초등학교+병설유치원(8월)'!U37)</x:f>
        <x:v>0</x:v>
      </x:c>
      <x:c r="J451" s="296" t="n">
        <x:f>SUM(E451:I451)</x:f>
        <x:v>2</x:v>
      </x:c>
      <x:c r="K451" s="291" t="str">
        <x:v>8월</x:v>
      </x:c>
    </x:row>
    <x:row r="452">
      <x:c r="A452" s="291" t="str">
        <x:f>IF('초등학교+병설유치원(8월)'!A37="","",'초등학교+병설유치원(8월)'!A37)</x:f>
        <x:v>22-1</x:v>
      </x:c>
      <x:c r="B452" s="291" t="str">
        <x:v>병설유치원</x:v>
      </x:c>
      <x:c r="C452" s="291" t="str">
        <x:f>IF('초등학교+병설유치원(8월)'!B37="","",'초등학교+병설유치원(8월)'!B37)</x:f>
        <x:v>이리신흥초 병설유치원</x:v>
      </x:c>
      <x:c r="D452" s="293" t="n">
        <x:v>46238</x:v>
      </x:c>
      <x:c r="E452" s="294" t="n">
        <x:f>IF('초등학교+병설유치원(8월)'!W37="",0,'초등학교+병설유치원(8월)'!W37)</x:f>
        <x:v>2</x:v>
      </x:c>
      <x:c r="F452" s="294" t="n">
        <x:f>IF('초등학교+병설유치원(8월)'!X37="",0,'초등학교+병설유치원(8월)'!X37)</x:f>
        <x:v>0</x:v>
      </x:c>
      <x:c r="G452" s="294" t="n">
        <x:f>IF('초등학교+병설유치원(8월)'!Y37="",0,'초등학교+병설유치원(8월)'!Y37)</x:f>
        <x:v>0</x:v>
      </x:c>
      <x:c r="H452" s="294" t="n">
        <x:f>IF('초등학교+병설유치원(8월)'!Z37="",0,'초등학교+병설유치원(8월)'!Z37)</x:f>
        <x:v>0</x:v>
      </x:c>
      <x:c r="I452" s="294" t="n">
        <x:f>IF('초등학교+병설유치원(8월)'!AA37="",0,'초등학교+병설유치원(8월)'!AA37)</x:f>
        <x:v>0</x:v>
      </x:c>
      <x:c r="J452" s="296" t="n">
        <x:f>SUM(E452:I452)</x:f>
        <x:v>2</x:v>
      </x:c>
      <x:c r="K452" s="291" t="str">
        <x:v>8월</x:v>
      </x:c>
    </x:row>
    <x:row r="453">
      <x:c r="A453" s="291" t="str">
        <x:f>IF('초등학교+병설유치원(8월)'!A37="","",'초등학교+병설유치원(8월)'!A37)</x:f>
        <x:v>22-1</x:v>
      </x:c>
      <x:c r="B453" s="291" t="str">
        <x:v>병설유치원</x:v>
      </x:c>
      <x:c r="C453" s="291" t="str">
        <x:f>IF('초등학교+병설유치원(8월)'!B37="","",'초등학교+병설유치원(8월)'!B37)</x:f>
        <x:v>이리신흥초 병설유치원</x:v>
      </x:c>
      <x:c r="D453" s="293" t="n">
        <x:v>46239</x:v>
      </x:c>
      <x:c r="E453" s="294" t="n">
        <x:f>IF('초등학교+병설유치원(8월)'!AC37="",0,'초등학교+병설유치원(8월)'!AC37)</x:f>
        <x:v>2</x:v>
      </x:c>
      <x:c r="F453" s="294" t="n">
        <x:f>IF('초등학교+병설유치원(8월)'!AD37="",0,'초등학교+병설유치원(8월)'!AD37)</x:f>
        <x:v>0</x:v>
      </x:c>
      <x:c r="G453" s="294" t="n">
        <x:f>IF('초등학교+병설유치원(8월)'!AE37="",0,'초등학교+병설유치원(8월)'!AE37)</x:f>
        <x:v>0</x:v>
      </x:c>
      <x:c r="H453" s="294" t="n">
        <x:f>IF('초등학교+병설유치원(8월)'!AF37="",0,'초등학교+병설유치원(8월)'!AF37)</x:f>
        <x:v>0</x:v>
      </x:c>
      <x:c r="I453" s="294" t="n">
        <x:f>IF('초등학교+병설유치원(8월)'!AG37="",0,'초등학교+병설유치원(8월)'!AG37)</x:f>
        <x:v>0</x:v>
      </x:c>
      <x:c r="J453" s="296" t="n">
        <x:f>SUM(E453:I453)</x:f>
        <x:v>2</x:v>
      </x:c>
      <x:c r="K453" s="291" t="str">
        <x:v>8월</x:v>
      </x:c>
    </x:row>
    <x:row r="454">
      <x:c r="A454" s="291" t="str">
        <x:f>IF('초등학교+병설유치원(8월)'!A37="","",'초등학교+병설유치원(8월)'!A37)</x:f>
        <x:v>22-1</x:v>
      </x:c>
      <x:c r="B454" s="291" t="str">
        <x:v>병설유치원</x:v>
      </x:c>
      <x:c r="C454" s="291" t="str">
        <x:f>IF('초등학교+병설유치원(8월)'!B37="","",'초등학교+병설유치원(8월)'!B37)</x:f>
        <x:v>이리신흥초 병설유치원</x:v>
      </x:c>
      <x:c r="D454" s="293" t="n">
        <x:v>46240</x:v>
      </x:c>
      <x:c r="E454" s="294" t="n">
        <x:f>IF('초등학교+병설유치원(8월)'!AI37="",0,'초등학교+병설유치원(8월)'!AI37)</x:f>
        <x:v>2</x:v>
      </x:c>
      <x:c r="F454" s="294" t="n">
        <x:f>IF('초등학교+병설유치원(8월)'!AJ37="",0,'초등학교+병설유치원(8월)'!AJ37)</x:f>
        <x:v>0</x:v>
      </x:c>
      <x:c r="G454" s="294" t="n">
        <x:f>IF('초등학교+병설유치원(8월)'!AK37="",0,'초등학교+병설유치원(8월)'!AK37)</x:f>
        <x:v>0</x:v>
      </x:c>
      <x:c r="H454" s="294" t="n">
        <x:f>IF('초등학교+병설유치원(8월)'!AL37="",0,'초등학교+병설유치원(8월)'!AL37)</x:f>
        <x:v>0</x:v>
      </x:c>
      <x:c r="I454" s="294" t="n">
        <x:f>IF('초등학교+병설유치원(8월)'!AM37="",0,'초등학교+병설유치원(8월)'!AM37)</x:f>
        <x:v>0</x:v>
      </x:c>
      <x:c r="J454" s="296" t="n">
        <x:f>SUM(E454:I454)</x:f>
        <x:v>2</x:v>
      </x:c>
      <x:c r="K454" s="291" t="str">
        <x:v>8월</x:v>
      </x:c>
    </x:row>
    <x:row r="455">
      <x:c r="A455" s="291" t="str">
        <x:f>IF('초등학교+병설유치원(8월)'!A37="","",'초등학교+병설유치원(8월)'!A37)</x:f>
        <x:v>22-1</x:v>
      </x:c>
      <x:c r="B455" s="291" t="str">
        <x:v>병설유치원</x:v>
      </x:c>
      <x:c r="C455" s="291" t="str">
        <x:f>IF('초등학교+병설유치원(8월)'!B37="","",'초등학교+병설유치원(8월)'!B37)</x:f>
        <x:v>이리신흥초 병설유치원</x:v>
      </x:c>
      <x:c r="D455" s="293" t="n">
        <x:v>46241</x:v>
      </x:c>
      <x:c r="E455" s="294" t="n">
        <x:f>IF('초등학교+병설유치원(8월)'!AO37="",0,'초등학교+병설유치원(8월)'!AO37)</x:f>
        <x:v>2</x:v>
      </x:c>
      <x:c r="F455" s="294" t="n">
        <x:f>IF('초등학교+병설유치원(8월)'!AP37="",0,'초등학교+병설유치원(8월)'!AP37)</x:f>
        <x:v>0</x:v>
      </x:c>
      <x:c r="G455" s="294" t="n">
        <x:f>IF('초등학교+병설유치원(8월)'!AQ37="",0,'초등학교+병설유치원(8월)'!AQ37)</x:f>
        <x:v>0</x:v>
      </x:c>
      <x:c r="H455" s="294" t="n">
        <x:f>IF('초등학교+병설유치원(8월)'!AR37="",0,'초등학교+병설유치원(8월)'!AR37)</x:f>
        <x:v>0</x:v>
      </x:c>
      <x:c r="I455" s="294" t="n">
        <x:f>IF('초등학교+병설유치원(8월)'!AS37="",0,'초등학교+병설유치원(8월)'!AS37)</x:f>
        <x:v>0</x:v>
      </x:c>
      <x:c r="J455" s="296" t="n">
        <x:f>SUM(E455:I455)</x:f>
        <x:v>2</x:v>
      </x:c>
      <x:c r="K455" s="291" t="str">
        <x:v>8월</x:v>
      </x:c>
    </x:row>
    <x:row r="456">
      <x:c r="A456" s="291" t="str">
        <x:f>IF('초등학교+병설유치원(8월)'!A37="","",'초등학교+병설유치원(8월)'!A37)</x:f>
        <x:v>22-1</x:v>
      </x:c>
      <x:c r="B456" s="291" t="str">
        <x:v>병설유치원</x:v>
      </x:c>
      <x:c r="C456" s="291" t="str">
        <x:f>IF('초등학교+병설유치원(8월)'!B37="","",'초등학교+병설유치원(8월)'!B37)</x:f>
        <x:v>이리신흥초 병설유치원</x:v>
      </x:c>
      <x:c r="D456" s="293" t="n">
        <x:v>46244</x:v>
      </x:c>
      <x:c r="E456" s="294" t="n">
        <x:f>IF('초등학교+병설유치원(8월)'!AU37="",0,'초등학교+병설유치원(8월)'!AU37)</x:f>
        <x:v>2</x:v>
      </x:c>
      <x:c r="F456" s="294" t="n">
        <x:f>IF('초등학교+병설유치원(8월)'!AV37="",0,'초등학교+병설유치원(8월)'!AV37)</x:f>
        <x:v>0</x:v>
      </x:c>
      <x:c r="G456" s="294" t="n">
        <x:f>IF('초등학교+병설유치원(8월)'!AW37="",0,'초등학교+병설유치원(8월)'!AW37)</x:f>
        <x:v>0</x:v>
      </x:c>
      <x:c r="H456" s="294" t="n">
        <x:f>IF('초등학교+병설유치원(8월)'!AX37="",0,'초등학교+병설유치원(8월)'!AX37)</x:f>
        <x:v>0</x:v>
      </x:c>
      <x:c r="I456" s="294" t="n">
        <x:f>IF('초등학교+병설유치원(8월)'!AY37="",0,'초등학교+병설유치원(8월)'!AY37)</x:f>
        <x:v>0</x:v>
      </x:c>
      <x:c r="J456" s="296" t="n">
        <x:f>SUM(E456:I456)</x:f>
        <x:v>2</x:v>
      </x:c>
      <x:c r="K456" s="291" t="str">
        <x:v>8월</x:v>
      </x:c>
    </x:row>
    <x:row r="457">
      <x:c r="A457" s="291" t="str">
        <x:f>IF('초등학교+병설유치원(8월)'!A37="","",'초등학교+병설유치원(8월)'!A37)</x:f>
        <x:v>22-1</x:v>
      </x:c>
      <x:c r="B457" s="291" t="str">
        <x:v>병설유치원</x:v>
      </x:c>
      <x:c r="C457" s="291" t="str">
        <x:f>IF('초등학교+병설유치원(8월)'!B37="","",'초등학교+병설유치원(8월)'!B37)</x:f>
        <x:v>이리신흥초 병설유치원</x:v>
      </x:c>
      <x:c r="D457" s="293" t="n">
        <x:v>46245</x:v>
      </x:c>
      <x:c r="E457" s="294" t="n">
        <x:f>IF('초등학교+병설유치원(8월)'!BA37="",0,'초등학교+병설유치원(8월)'!BA37)</x:f>
        <x:v>2</x:v>
      </x:c>
      <x:c r="F457" s="294" t="n">
        <x:f>IF('초등학교+병설유치원(8월)'!BB37="",0,'초등학교+병설유치원(8월)'!BB37)</x:f>
        <x:v>0</x:v>
      </x:c>
      <x:c r="G457" s="294" t="n">
        <x:f>IF('초등학교+병설유치원(8월)'!BC37="",0,'초등학교+병설유치원(8월)'!BC37)</x:f>
        <x:v>0</x:v>
      </x:c>
      <x:c r="H457" s="294" t="n">
        <x:f>IF('초등학교+병설유치원(8월)'!BD37="",0,'초등학교+병설유치원(8월)'!BD37)</x:f>
        <x:v>0</x:v>
      </x:c>
      <x:c r="I457" s="294" t="n">
        <x:f>IF('초등학교+병설유치원(8월)'!BE37="",0,'초등학교+병설유치원(8월)'!BE37)</x:f>
        <x:v>0</x:v>
      </x:c>
      <x:c r="J457" s="296" t="n">
        <x:f>SUM(E457:I457)</x:f>
        <x:v>2</x:v>
      </x:c>
      <x:c r="K457" s="291" t="str">
        <x:v>8월</x:v>
      </x:c>
    </x:row>
    <x:row r="458">
      <x:c r="A458" s="291" t="str">
        <x:f>IF('초등학교+병설유치원(8월)'!A37="","",'초등학교+병설유치원(8월)'!A37)</x:f>
        <x:v>22-1</x:v>
      </x:c>
      <x:c r="B458" s="291" t="str">
        <x:v>병설유치원</x:v>
      </x:c>
      <x:c r="C458" s="291" t="str">
        <x:f>IF('초등학교+병설유치원(8월)'!B37="","",'초등학교+병설유치원(8월)'!B37)</x:f>
        <x:v>이리신흥초 병설유치원</x:v>
      </x:c>
      <x:c r="D458" s="293" t="n">
        <x:v>46246</x:v>
      </x:c>
      <x:c r="E458" s="294" t="n">
        <x:f>IF('초등학교+병설유치원(8월)'!BG37="",0,'초등학교+병설유치원(8월)'!BG37)</x:f>
        <x:v>2</x:v>
      </x:c>
      <x:c r="F458" s="294" t="n">
        <x:f>IF('초등학교+병설유치원(8월)'!BH37="",0,'초등학교+병설유치원(8월)'!BH37)</x:f>
        <x:v>0</x:v>
      </x:c>
      <x:c r="G458" s="294" t="n">
        <x:f>IF('초등학교+병설유치원(8월)'!BI37="",0,'초등학교+병설유치원(8월)'!BI37)</x:f>
        <x:v>0</x:v>
      </x:c>
      <x:c r="H458" s="294" t="n">
        <x:f>IF('초등학교+병설유치원(8월)'!BJ37="",0,'초등학교+병설유치원(8월)'!BJ37)</x:f>
        <x:v>0</x:v>
      </x:c>
      <x:c r="I458" s="294" t="n">
        <x:f>IF('초등학교+병설유치원(8월)'!BK37="",0,'초등학교+병설유치원(8월)'!BK37)</x:f>
        <x:v>0</x:v>
      </x:c>
      <x:c r="J458" s="296" t="n">
        <x:f>SUM(E458:I458)</x:f>
        <x:v>2</x:v>
      </x:c>
      <x:c r="K458" s="291" t="str">
        <x:v>8월</x:v>
      </x:c>
    </x:row>
    <x:row r="459">
      <x:c r="A459" s="291" t="str">
        <x:f>IF('초등학교+병설유치원(8월)'!A37="","",'초등학교+병설유치원(8월)'!A37)</x:f>
        <x:v>22-1</x:v>
      </x:c>
      <x:c r="B459" s="291" t="str">
        <x:v>병설유치원</x:v>
      </x:c>
      <x:c r="C459" s="291" t="str">
        <x:f>IF('초등학교+병설유치원(8월)'!B37="","",'초등학교+병설유치원(8월)'!B37)</x:f>
        <x:v>이리신흥초 병설유치원</x:v>
      </x:c>
      <x:c r="D459" s="293" t="n">
        <x:v>46247</x:v>
      </x:c>
      <x:c r="E459" s="294" t="n">
        <x:f>IF('초등학교+병설유치원(8월)'!BM37="",0,'초등학교+병설유치원(8월)'!BM37)</x:f>
        <x:v>3</x:v>
      </x:c>
      <x:c r="F459" s="294" t="n">
        <x:f>IF('초등학교+병설유치원(8월)'!BN37="",0,'초등학교+병설유치원(8월)'!BN37)</x:f>
        <x:v>0</x:v>
      </x:c>
      <x:c r="G459" s="294" t="n">
        <x:f>IF('초등학교+병설유치원(8월)'!BO37="",0,'초등학교+병설유치원(8월)'!BO37)</x:f>
        <x:v>0</x:v>
      </x:c>
      <x:c r="H459" s="294" t="n">
        <x:f>IF('초등학교+병설유치원(8월)'!BP37="",0,'초등학교+병설유치원(8월)'!BP37)</x:f>
        <x:v>0</x:v>
      </x:c>
      <x:c r="I459" s="294" t="n">
        <x:f>IF('초등학교+병설유치원(8월)'!BQ37="",0,'초등학교+병설유치원(8월)'!BQ37)</x:f>
        <x:v>0</x:v>
      </x:c>
      <x:c r="J459" s="296" t="n">
        <x:f>SUM(E459:I459)</x:f>
        <x:v>3</x:v>
      </x:c>
      <x:c r="K459" s="291" t="str">
        <x:v>8월</x:v>
      </x:c>
    </x:row>
    <x:row r="460">
      <x:c r="A460" s="291" t="str">
        <x:f>IF('초등학교+병설유치원(8월)'!A37="","",'초등학교+병설유치원(8월)'!A37)</x:f>
        <x:v>22-1</x:v>
      </x:c>
      <x:c r="B460" s="291" t="str">
        <x:v>병설유치원</x:v>
      </x:c>
      <x:c r="C460" s="291" t="str">
        <x:f>IF('초등학교+병설유치원(8월)'!B37="","",'초등학교+병설유치원(8월)'!B37)</x:f>
        <x:v>이리신흥초 병설유치원</x:v>
      </x:c>
      <x:c r="D460" s="293" t="n">
        <x:v>46248</x:v>
      </x:c>
      <x:c r="E460" s="294" t="n">
        <x:f>IF('초등학교+병설유치원(8월)'!BS37="",0,'초등학교+병설유치원(8월)'!BS37)</x:f>
        <x:v>3</x:v>
      </x:c>
      <x:c r="F460" s="294" t="n">
        <x:f>IF('초등학교+병설유치원(8월)'!BT37="",0,'초등학교+병설유치원(8월)'!BT37)</x:f>
        <x:v>0</x:v>
      </x:c>
      <x:c r="G460" s="294" t="n">
        <x:f>IF('초등학교+병설유치원(8월)'!BU37="",0,'초등학교+병설유치원(8월)'!BU37)</x:f>
        <x:v>0</x:v>
      </x:c>
      <x:c r="H460" s="294" t="n">
        <x:f>IF('초등학교+병설유치원(8월)'!BV37="",0,'초등학교+병설유치원(8월)'!BV37)</x:f>
        <x:v>0</x:v>
      </x:c>
      <x:c r="I460" s="294" t="n">
        <x:f>IF('초등학교+병설유치원(8월)'!BW37="",0,'초등학교+병설유치원(8월)'!BW37)</x:f>
        <x:v>0</x:v>
      </x:c>
      <x:c r="J460" s="296" t="n">
        <x:f>SUM(E460:I460)</x:f>
        <x:v>3</x:v>
      </x:c>
      <x:c r="K460" s="291" t="str">
        <x:v>8월</x:v>
      </x:c>
    </x:row>
    <x:row r="461">
      <x:c r="A461" s="291" t="n">
        <x:f>IF('초등학교+병설유치원(8월)'!A38="","",'초등학교+병설유치원(8월)'!A38)</x:f>
        <x:v>23</x:v>
      </x:c>
      <x:c r="B461" s="291" t="str">
        <x:v>초등학교</x:v>
      </x:c>
      <x:c r="C461" s="291" t="str">
        <x:f>IF('초등학교+병설유치원(8월)'!B38="","",'초등학교+병설유치원(8월)'!B38)</x:f>
        <x:v>이리영등초</x:v>
      </x:c>
      <x:c r="D461" s="293" t="n">
        <x:v>46237</x:v>
      </x:c>
      <x:c r="E461" s="294" t="n">
        <x:f>IF('초등학교+병설유치원(8월)'!Q38="",0,'초등학교+병설유치원(8월)'!Q38)</x:f>
        <x:v>22</x:v>
      </x:c>
      <x:c r="F461" s="294" t="n">
        <x:f>IF('초등학교+병설유치원(8월)'!R38="",0,'초등학교+병설유치원(8월)'!R38)</x:f>
        <x:v>21</x:v>
      </x:c>
      <x:c r="G461" s="294" t="n">
        <x:f>IF('초등학교+병설유치원(8월)'!S38="",0,'초등학교+병설유치원(8월)'!S38)</x:f>
        <x:v>0</x:v>
      </x:c>
      <x:c r="H461" s="294" t="n">
        <x:f>IF('초등학교+병설유치원(8월)'!T38="",0,'초등학교+병설유치원(8월)'!T38)</x:f>
        <x:v>0</x:v>
      </x:c>
      <x:c r="I461" s="294" t="n">
        <x:f>IF('초등학교+병설유치원(8월)'!U38="",0,'초등학교+병설유치원(8월)'!U38)</x:f>
        <x:v>20</x:v>
      </x:c>
      <x:c r="J461" s="296" t="n">
        <x:f>SUM(E461:I461)</x:f>
        <x:v>63</x:v>
      </x:c>
      <x:c r="K461" s="291" t="str">
        <x:v>8월</x:v>
      </x:c>
    </x:row>
    <x:row r="462">
      <x:c r="A462" s="291" t="n">
        <x:f>IF('초등학교+병설유치원(8월)'!A38="","",'초등학교+병설유치원(8월)'!A38)</x:f>
        <x:v>23</x:v>
      </x:c>
      <x:c r="B462" s="291" t="str">
        <x:v>초등학교</x:v>
      </x:c>
      <x:c r="C462" s="291" t="str">
        <x:f>IF('초등학교+병설유치원(8월)'!B38="","",'초등학교+병설유치원(8월)'!B38)</x:f>
        <x:v>이리영등초</x:v>
      </x:c>
      <x:c r="D462" s="293" t="n">
        <x:v>46238</x:v>
      </x:c>
      <x:c r="E462" s="294" t="n">
        <x:f>IF('초등학교+병설유치원(8월)'!W38="",0,'초등학교+병설유치원(8월)'!W38)</x:f>
        <x:v>22</x:v>
      </x:c>
      <x:c r="F462" s="294" t="n">
        <x:f>IF('초등학교+병설유치원(8월)'!X38="",0,'초등학교+병설유치원(8월)'!X38)</x:f>
        <x:v>21</x:v>
      </x:c>
      <x:c r="G462" s="294" t="n">
        <x:f>IF('초등학교+병설유치원(8월)'!Y38="",0,'초등학교+병설유치원(8월)'!Y38)</x:f>
        <x:v>0</x:v>
      </x:c>
      <x:c r="H462" s="294" t="n">
        <x:f>IF('초등학교+병설유치원(8월)'!Z38="",0,'초등학교+병설유치원(8월)'!Z38)</x:f>
        <x:v>0</x:v>
      </x:c>
      <x:c r="I462" s="294" t="n">
        <x:f>IF('초등학교+병설유치원(8월)'!AA38="",0,'초등학교+병설유치원(8월)'!AA38)</x:f>
        <x:v>20</x:v>
      </x:c>
      <x:c r="J462" s="296" t="n">
        <x:f>SUM(E462:I462)</x:f>
        <x:v>63</x:v>
      </x:c>
      <x:c r="K462" s="291" t="str">
        <x:v>8월</x:v>
      </x:c>
    </x:row>
    <x:row r="463">
      <x:c r="A463" s="291" t="n">
        <x:f>IF('초등학교+병설유치원(8월)'!A38="","",'초등학교+병설유치원(8월)'!A38)</x:f>
        <x:v>23</x:v>
      </x:c>
      <x:c r="B463" s="291" t="str">
        <x:v>초등학교</x:v>
      </x:c>
      <x:c r="C463" s="291" t="str">
        <x:f>IF('초등학교+병설유치원(8월)'!B38="","",'초등학교+병설유치원(8월)'!B38)</x:f>
        <x:v>이리영등초</x:v>
      </x:c>
      <x:c r="D463" s="293" t="n">
        <x:v>46239</x:v>
      </x:c>
      <x:c r="E463" s="294" t="n">
        <x:f>IF('초등학교+병설유치원(8월)'!AC38="",0,'초등학교+병설유치원(8월)'!AC38)</x:f>
        <x:v>22</x:v>
      </x:c>
      <x:c r="F463" s="294" t="n">
        <x:f>IF('초등학교+병설유치원(8월)'!AD38="",0,'초등학교+병설유치원(8월)'!AD38)</x:f>
        <x:v>21</x:v>
      </x:c>
      <x:c r="G463" s="294" t="n">
        <x:f>IF('초등학교+병설유치원(8월)'!AE38="",0,'초등학교+병설유치원(8월)'!AE38)</x:f>
        <x:v>0</x:v>
      </x:c>
      <x:c r="H463" s="294" t="n">
        <x:f>IF('초등학교+병설유치원(8월)'!AF38="",0,'초등학교+병설유치원(8월)'!AF38)</x:f>
        <x:v>0</x:v>
      </x:c>
      <x:c r="I463" s="294" t="n">
        <x:f>IF('초등학교+병설유치원(8월)'!AG38="",0,'초등학교+병설유치원(8월)'!AG38)</x:f>
        <x:v>20</x:v>
      </x:c>
      <x:c r="J463" s="296" t="n">
        <x:f>SUM(E463:I463)</x:f>
        <x:v>63</x:v>
      </x:c>
      <x:c r="K463" s="291" t="str">
        <x:v>8월</x:v>
      </x:c>
    </x:row>
    <x:row r="464">
      <x:c r="A464" s="291" t="n">
        <x:f>IF('초등학교+병설유치원(8월)'!A38="","",'초등학교+병설유치원(8월)'!A38)</x:f>
        <x:v>23</x:v>
      </x:c>
      <x:c r="B464" s="291" t="str">
        <x:v>초등학교</x:v>
      </x:c>
      <x:c r="C464" s="291" t="str">
        <x:f>IF('초등학교+병설유치원(8월)'!B38="","",'초등학교+병설유치원(8월)'!B38)</x:f>
        <x:v>이리영등초</x:v>
      </x:c>
      <x:c r="D464" s="293" t="n">
        <x:v>46240</x:v>
      </x:c>
      <x:c r="E464" s="294" t="n">
        <x:f>IF('초등학교+병설유치원(8월)'!AI38="",0,'초등학교+병설유치원(8월)'!AI38)</x:f>
        <x:v>22</x:v>
      </x:c>
      <x:c r="F464" s="294" t="n">
        <x:f>IF('초등학교+병설유치원(8월)'!AJ38="",0,'초등학교+병설유치원(8월)'!AJ38)</x:f>
        <x:v>21</x:v>
      </x:c>
      <x:c r="G464" s="294" t="n">
        <x:f>IF('초등학교+병설유치원(8월)'!AK38="",0,'초등학교+병설유치원(8월)'!AK38)</x:f>
        <x:v>0</x:v>
      </x:c>
      <x:c r="H464" s="294" t="n">
        <x:f>IF('초등학교+병설유치원(8월)'!AL38="",0,'초등학교+병설유치원(8월)'!AL38)</x:f>
        <x:v>0</x:v>
      </x:c>
      <x:c r="I464" s="294" t="n">
        <x:f>IF('초등학교+병설유치원(8월)'!AM38="",0,'초등학교+병설유치원(8월)'!AM38)</x:f>
        <x:v>20</x:v>
      </x:c>
      <x:c r="J464" s="296" t="n">
        <x:f>SUM(E464:I464)</x:f>
        <x:v>63</x:v>
      </x:c>
      <x:c r="K464" s="291" t="str">
        <x:v>8월</x:v>
      </x:c>
    </x:row>
    <x:row r="465">
      <x:c r="A465" s="291" t="n">
        <x:f>IF('초등학교+병설유치원(8월)'!A38="","",'초등학교+병설유치원(8월)'!A38)</x:f>
        <x:v>23</x:v>
      </x:c>
      <x:c r="B465" s="291" t="str">
        <x:v>초등학교</x:v>
      </x:c>
      <x:c r="C465" s="291" t="str">
        <x:f>IF('초등학교+병설유치원(8월)'!B38="","",'초등학교+병설유치원(8월)'!B38)</x:f>
        <x:v>이리영등초</x:v>
      </x:c>
      <x:c r="D465" s="293" t="n">
        <x:v>46241</x:v>
      </x:c>
      <x:c r="E465" s="294" t="n">
        <x:f>IF('초등학교+병설유치원(8월)'!AO38="",0,'초등학교+병설유치원(8월)'!AO38)</x:f>
        <x:v>22</x:v>
      </x:c>
      <x:c r="F465" s="294" t="n">
        <x:f>IF('초등학교+병설유치원(8월)'!AP38="",0,'초등학교+병설유치원(8월)'!AP38)</x:f>
        <x:v>21</x:v>
      </x:c>
      <x:c r="G465" s="294" t="n">
        <x:f>IF('초등학교+병설유치원(8월)'!AQ38="",0,'초등학교+병설유치원(8월)'!AQ38)</x:f>
        <x:v>0</x:v>
      </x:c>
      <x:c r="H465" s="294" t="n">
        <x:f>IF('초등학교+병설유치원(8월)'!AR38="",0,'초등학교+병설유치원(8월)'!AR38)</x:f>
        <x:v>0</x:v>
      </x:c>
      <x:c r="I465" s="294" t="n">
        <x:f>IF('초등학교+병설유치원(8월)'!AS38="",0,'초등학교+병설유치원(8월)'!AS38)</x:f>
        <x:v>20</x:v>
      </x:c>
      <x:c r="J465" s="296" t="n">
        <x:f>SUM(E465:I465)</x:f>
        <x:v>63</x:v>
      </x:c>
      <x:c r="K465" s="291" t="str">
        <x:v>8월</x:v>
      </x:c>
    </x:row>
    <x:row r="466">
      <x:c r="A466" s="291" t="n">
        <x:f>IF('초등학교+병설유치원(8월)'!A38="","",'초등학교+병설유치원(8월)'!A38)</x:f>
        <x:v>23</x:v>
      </x:c>
      <x:c r="B466" s="291" t="str">
        <x:v>초등학교</x:v>
      </x:c>
      <x:c r="C466" s="291" t="str">
        <x:f>IF('초등학교+병설유치원(8월)'!B38="","",'초등학교+병설유치원(8월)'!B38)</x:f>
        <x:v>이리영등초</x:v>
      </x:c>
      <x:c r="D466" s="293" t="n">
        <x:v>46244</x:v>
      </x:c>
      <x:c r="E466" s="294" t="n">
        <x:f>IF('초등학교+병설유치원(8월)'!AU38="",0,'초등학교+병설유치원(8월)'!AU38)</x:f>
        <x:v>22</x:v>
      </x:c>
      <x:c r="F466" s="294" t="n">
        <x:f>IF('초등학교+병설유치원(8월)'!AV38="",0,'초등학교+병설유치원(8월)'!AV38)</x:f>
        <x:v>21</x:v>
      </x:c>
      <x:c r="G466" s="294" t="n">
        <x:f>IF('초등학교+병설유치원(8월)'!AW38="",0,'초등학교+병설유치원(8월)'!AW38)</x:f>
        <x:v>0</x:v>
      </x:c>
      <x:c r="H466" s="294" t="n">
        <x:f>IF('초등학교+병설유치원(8월)'!AX38="",0,'초등학교+병설유치원(8월)'!AX38)</x:f>
        <x:v>0</x:v>
      </x:c>
      <x:c r="I466" s="294" t="n">
        <x:f>IF('초등학교+병설유치원(8월)'!AY38="",0,'초등학교+병설유치원(8월)'!AY38)</x:f>
        <x:v>20</x:v>
      </x:c>
      <x:c r="J466" s="296" t="n">
        <x:f>SUM(E466:I466)</x:f>
        <x:v>63</x:v>
      </x:c>
      <x:c r="K466" s="291" t="str">
        <x:v>8월</x:v>
      </x:c>
    </x:row>
    <x:row r="467">
      <x:c r="A467" s="291" t="n">
        <x:f>IF('초등학교+병설유치원(8월)'!A38="","",'초등학교+병설유치원(8월)'!A38)</x:f>
        <x:v>23</x:v>
      </x:c>
      <x:c r="B467" s="291" t="str">
        <x:v>초등학교</x:v>
      </x:c>
      <x:c r="C467" s="291" t="str">
        <x:f>IF('초등학교+병설유치원(8월)'!B38="","",'초등학교+병설유치원(8월)'!B38)</x:f>
        <x:v>이리영등초</x:v>
      </x:c>
      <x:c r="D467" s="293" t="n">
        <x:v>46245</x:v>
      </x:c>
      <x:c r="E467" s="294" t="n">
        <x:f>IF('초등학교+병설유치원(8월)'!BA38="",0,'초등학교+병설유치원(8월)'!BA38)</x:f>
        <x:v>22</x:v>
      </x:c>
      <x:c r="F467" s="294" t="n">
        <x:f>IF('초등학교+병설유치원(8월)'!BB38="",0,'초등학교+병설유치원(8월)'!BB38)</x:f>
        <x:v>21</x:v>
      </x:c>
      <x:c r="G467" s="294" t="n">
        <x:f>IF('초등학교+병설유치원(8월)'!BC38="",0,'초등학교+병설유치원(8월)'!BC38)</x:f>
        <x:v>0</x:v>
      </x:c>
      <x:c r="H467" s="294" t="n">
        <x:f>IF('초등학교+병설유치원(8월)'!BD38="",0,'초등학교+병설유치원(8월)'!BD38)</x:f>
        <x:v>0</x:v>
      </x:c>
      <x:c r="I467" s="294" t="n">
        <x:f>IF('초등학교+병설유치원(8월)'!BE38="",0,'초등학교+병설유치원(8월)'!BE38)</x:f>
        <x:v>20</x:v>
      </x:c>
      <x:c r="J467" s="296" t="n">
        <x:f>SUM(E467:I467)</x:f>
        <x:v>63</x:v>
      </x:c>
      <x:c r="K467" s="291" t="str">
        <x:v>8월</x:v>
      </x:c>
    </x:row>
    <x:row r="468">
      <x:c r="A468" s="291" t="n">
        <x:f>IF('초등학교+병설유치원(8월)'!A38="","",'초등학교+병설유치원(8월)'!A38)</x:f>
        <x:v>23</x:v>
      </x:c>
      <x:c r="B468" s="291" t="str">
        <x:v>초등학교</x:v>
      </x:c>
      <x:c r="C468" s="291" t="str">
        <x:f>IF('초등학교+병설유치원(8월)'!B38="","",'초등학교+병설유치원(8월)'!B38)</x:f>
        <x:v>이리영등초</x:v>
      </x:c>
      <x:c r="D468" s="293" t="n">
        <x:v>46246</x:v>
      </x:c>
      <x:c r="E468" s="294" t="n">
        <x:f>IF('초등학교+병설유치원(8월)'!BG38="",0,'초등학교+병설유치원(8월)'!BG38)</x:f>
        <x:v>22</x:v>
      </x:c>
      <x:c r="F468" s="294" t="n">
        <x:f>IF('초등학교+병설유치원(8월)'!BH38="",0,'초등학교+병설유치원(8월)'!BH38)</x:f>
        <x:v>21</x:v>
      </x:c>
      <x:c r="G468" s="294" t="n">
        <x:f>IF('초등학교+병설유치원(8월)'!BI38="",0,'초등학교+병설유치원(8월)'!BI38)</x:f>
        <x:v>0</x:v>
      </x:c>
      <x:c r="H468" s="294" t="n">
        <x:f>IF('초등학교+병설유치원(8월)'!BJ38="",0,'초등학교+병설유치원(8월)'!BJ38)</x:f>
        <x:v>0</x:v>
      </x:c>
      <x:c r="I468" s="294" t="n">
        <x:f>IF('초등학교+병설유치원(8월)'!BK38="",0,'초등학교+병설유치원(8월)'!BK38)</x:f>
        <x:v>20</x:v>
      </x:c>
      <x:c r="J468" s="296" t="n">
        <x:f>SUM(E468:I468)</x:f>
        <x:v>63</x:v>
      </x:c>
      <x:c r="K468" s="291" t="str">
        <x:v>8월</x:v>
      </x:c>
    </x:row>
    <x:row r="469">
      <x:c r="A469" s="291" t="n">
        <x:f>IF('초등학교+병설유치원(8월)'!A38="","",'초등학교+병설유치원(8월)'!A38)</x:f>
        <x:v>23</x:v>
      </x:c>
      <x:c r="B469" s="291" t="str">
        <x:v>초등학교</x:v>
      </x:c>
      <x:c r="C469" s="291" t="str">
        <x:f>IF('초등학교+병설유치원(8월)'!B38="","",'초등학교+병설유치원(8월)'!B38)</x:f>
        <x:v>이리영등초</x:v>
      </x:c>
      <x:c r="D469" s="293" t="n">
        <x:v>46247</x:v>
      </x:c>
      <x:c r="E469" s="294" t="n">
        <x:f>IF('초등학교+병설유치원(8월)'!BM38="",0,'초등학교+병설유치원(8월)'!BM38)</x:f>
        <x:v>22</x:v>
      </x:c>
      <x:c r="F469" s="294" t="n">
        <x:f>IF('초등학교+병설유치원(8월)'!BN38="",0,'초등학교+병설유치원(8월)'!BN38)</x:f>
        <x:v>21</x:v>
      </x:c>
      <x:c r="G469" s="294" t="n">
        <x:f>IF('초등학교+병설유치원(8월)'!BO38="",0,'초등학교+병설유치원(8월)'!BO38)</x:f>
        <x:v>0</x:v>
      </x:c>
      <x:c r="H469" s="294" t="n">
        <x:f>IF('초등학교+병설유치원(8월)'!BP38="",0,'초등학교+병설유치원(8월)'!BP38)</x:f>
        <x:v>0</x:v>
      </x:c>
      <x:c r="I469" s="294" t="n">
        <x:f>IF('초등학교+병설유치원(8월)'!BQ38="",0,'초등학교+병설유치원(8월)'!BQ38)</x:f>
        <x:v>20</x:v>
      </x:c>
      <x:c r="J469" s="296" t="n">
        <x:f>SUM(E469:I469)</x:f>
        <x:v>63</x:v>
      </x:c>
      <x:c r="K469" s="291" t="str">
        <x:v>8월</x:v>
      </x:c>
    </x:row>
    <x:row r="470">
      <x:c r="A470" s="291" t="n">
        <x:f>IF('초등학교+병설유치원(8월)'!A38="","",'초등학교+병설유치원(8월)'!A38)</x:f>
        <x:v>23</x:v>
      </x:c>
      <x:c r="B470" s="291" t="str">
        <x:v>초등학교</x:v>
      </x:c>
      <x:c r="C470" s="291" t="str">
        <x:f>IF('초등학교+병설유치원(8월)'!B38="","",'초등학교+병설유치원(8월)'!B38)</x:f>
        <x:v>이리영등초</x:v>
      </x:c>
      <x:c r="D470" s="293" t="n">
        <x:v>46248</x:v>
      </x:c>
      <x:c r="E470" s="294" t="n">
        <x:f>IF('초등학교+병설유치원(8월)'!BS38="",0,'초등학교+병설유치원(8월)'!BS38)</x:f>
        <x:v>22</x:v>
      </x:c>
      <x:c r="F470" s="294" t="n">
        <x:f>IF('초등학교+병설유치원(8월)'!BT38="",0,'초등학교+병설유치원(8월)'!BT38)</x:f>
        <x:v>21</x:v>
      </x:c>
      <x:c r="G470" s="294" t="n">
        <x:f>IF('초등학교+병설유치원(8월)'!BU38="",0,'초등학교+병설유치원(8월)'!BU38)</x:f>
        <x:v>0</x:v>
      </x:c>
      <x:c r="H470" s="294" t="n">
        <x:f>IF('초등학교+병설유치원(8월)'!BV38="",0,'초등학교+병설유치원(8월)'!BV38)</x:f>
        <x:v>0</x:v>
      </x:c>
      <x:c r="I470" s="294" t="n">
        <x:f>IF('초등학교+병설유치원(8월)'!BW38="",0,'초등학교+병설유치원(8월)'!BW38)</x:f>
        <x:v>20</x:v>
      </x:c>
      <x:c r="J470" s="296" t="n">
        <x:f>SUM(E470:I470)</x:f>
        <x:v>63</x:v>
      </x:c>
      <x:c r="K470" s="291" t="str">
        <x:v>8월</x:v>
      </x:c>
    </x:row>
    <x:row r="471">
      <x:c r="A471" s="291" t="n">
        <x:f>IF('초등학교+병설유치원(8월)'!A38="","",'초등학교+병설유치원(8월)'!A38)</x:f>
        <x:v>23</x:v>
      </x:c>
      <x:c r="B471" s="291" t="str">
        <x:v>초등학교</x:v>
      </x:c>
      <x:c r="C471" s="291" t="str">
        <x:f>IF('초등학교+병설유치원(8월)'!B38="","",'초등학교+병설유치원(8월)'!B38)</x:f>
        <x:v>이리영등초</x:v>
      </x:c>
      <x:c r="D471" s="293" t="n">
        <x:v>46252</x:v>
      </x:c>
      <x:c r="E471" s="294" t="n">
        <x:f>IF('초등학교+병설유치원(8월)'!BY38="",0,'초등학교+병설유치원(8월)'!BY38)</x:f>
        <x:v>22</x:v>
      </x:c>
      <x:c r="F471" s="294" t="n">
        <x:f>IF('초등학교+병설유치원(8월)'!BZ38="",0,'초등학교+병설유치원(8월)'!BZ38)</x:f>
        <x:v>21</x:v>
      </x:c>
      <x:c r="G471" s="294" t="n">
        <x:f>IF('초등학교+병설유치원(8월)'!CA38="",0,'초등학교+병설유치원(8월)'!CA38)</x:f>
        <x:v>0</x:v>
      </x:c>
      <x:c r="H471" s="294" t="n">
        <x:f>IF('초등학교+병설유치원(8월)'!CB38="",0,'초등학교+병설유치원(8월)'!CB38)</x:f>
        <x:v>0</x:v>
      </x:c>
      <x:c r="I471" s="294" t="n">
        <x:f>IF('초등학교+병설유치원(8월)'!CC38="",0,'초등학교+병설유치원(8월)'!CC38)</x:f>
        <x:v>20</x:v>
      </x:c>
      <x:c r="J471" s="296" t="n">
        <x:f>SUM(E471:I471)</x:f>
        <x:v>63</x:v>
      </x:c>
      <x:c r="K471" s="291" t="str">
        <x:v>8월</x:v>
      </x:c>
    </x:row>
    <x:row r="472">
      <x:c r="A472" s="291" t="n">
        <x:f>IF('초등학교+병설유치원(8월)'!A38="","",'초등학교+병설유치원(8월)'!A38)</x:f>
        <x:v>23</x:v>
      </x:c>
      <x:c r="B472" s="291" t="str">
        <x:v>초등학교</x:v>
      </x:c>
      <x:c r="C472" s="291" t="str">
        <x:f>IF('초등학교+병설유치원(8월)'!B38="","",'초등학교+병설유치원(8월)'!B38)</x:f>
        <x:v>이리영등초</x:v>
      </x:c>
      <x:c r="D472" s="293" t="n">
        <x:v>46253</x:v>
      </x:c>
      <x:c r="E472" s="294" t="n">
        <x:f>IF('초등학교+병설유치원(8월)'!CE38="",0,'초등학교+병설유치원(8월)'!CE38)</x:f>
        <x:v>22</x:v>
      </x:c>
      <x:c r="F472" s="294" t="n">
        <x:f>IF('초등학교+병설유치원(8월)'!CF38="",0,'초등학교+병설유치원(8월)'!CF38)</x:f>
        <x:v>21</x:v>
      </x:c>
      <x:c r="G472" s="294" t="n">
        <x:f>IF('초등학교+병설유치원(8월)'!CG38="",0,'초등학교+병설유치원(8월)'!CG38)</x:f>
        <x:v>0</x:v>
      </x:c>
      <x:c r="H472" s="294" t="n">
        <x:f>IF('초등학교+병설유치원(8월)'!CH38="",0,'초등학교+병설유치원(8월)'!CH38)</x:f>
        <x:v>0</x:v>
      </x:c>
      <x:c r="I472" s="294" t="n">
        <x:f>IF('초등학교+병설유치원(8월)'!CI38="",0,'초등학교+병설유치원(8월)'!CI38)</x:f>
        <x:v>20</x:v>
      </x:c>
      <x:c r="J472" s="296" t="n">
        <x:f>SUM(E472:I472)</x:f>
        <x:v>63</x:v>
      </x:c>
      <x:c r="K472" s="291" t="str">
        <x:v>8월</x:v>
      </x:c>
    </x:row>
    <x:row r="473">
      <x:c r="A473" s="291" t="n">
        <x:f>IF('초등학교+병설유치원(8월)'!A38="","",'초등학교+병설유치원(8월)'!A38)</x:f>
        <x:v>23</x:v>
      </x:c>
      <x:c r="B473" s="291" t="str">
        <x:v>초등학교</x:v>
      </x:c>
      <x:c r="C473" s="291" t="str">
        <x:f>IF('초등학교+병설유치원(8월)'!B38="","",'초등학교+병설유치원(8월)'!B38)</x:f>
        <x:v>이리영등초</x:v>
      </x:c>
      <x:c r="D473" s="293" t="n">
        <x:v>46254</x:v>
      </x:c>
      <x:c r="E473" s="294" t="n">
        <x:f>IF('초등학교+병설유치원(8월)'!CK38="",0,'초등학교+병설유치원(8월)'!CK38)</x:f>
        <x:v>22</x:v>
      </x:c>
      <x:c r="F473" s="294" t="n">
        <x:f>IF('초등학교+병설유치원(8월)'!CL38="",0,'초등학교+병설유치원(8월)'!CL38)</x:f>
        <x:v>21</x:v>
      </x:c>
      <x:c r="G473" s="294" t="n">
        <x:f>IF('초등학교+병설유치원(8월)'!CM38="",0,'초등학교+병설유치원(8월)'!CM38)</x:f>
        <x:v>0</x:v>
      </x:c>
      <x:c r="H473" s="294" t="n">
        <x:f>IF('초등학교+병설유치원(8월)'!CN38="",0,'초등학교+병설유치원(8월)'!CN38)</x:f>
        <x:v>0</x:v>
      </x:c>
      <x:c r="I473" s="294" t="n">
        <x:f>IF('초등학교+병설유치원(8월)'!CO38="",0,'초등학교+병설유치원(8월)'!CO38)</x:f>
        <x:v>20</x:v>
      </x:c>
      <x:c r="J473" s="296" t="n">
        <x:f>SUM(E473:I473)</x:f>
        <x:v>63</x:v>
      </x:c>
      <x:c r="K473" s="291" t="str">
        <x:v>8월</x:v>
      </x:c>
    </x:row>
    <x:row r="474">
      <x:c r="A474" s="291" t="n">
        <x:f>IF('초등학교+병설유치원(8월)'!A39="","",'초등학교+병설유치원(8월)'!A39)</x:f>
        <x:v>24</x:v>
      </x:c>
      <x:c r="B474" s="291" t="str">
        <x:v>초등학교</x:v>
      </x:c>
      <x:c r="C474" s="291" t="str">
        <x:f>IF('초등학교+병설유치원(8월)'!B39="","",'초등학교+병설유치원(8월)'!B39)</x:f>
        <x:v>이리중앙초</x:v>
      </x:c>
      <x:c r="D474" s="293" t="n">
        <x:v>46237</x:v>
      </x:c>
      <x:c r="E474" s="294" t="n">
        <x:f>IF('초등학교+병설유치원(8월)'!Q39="",0,'초등학교+병설유치원(8월)'!Q39)</x:f>
        <x:v>17</x:v>
      </x:c>
      <x:c r="F474" s="294" t="n">
        <x:f>IF('초등학교+병설유치원(8월)'!R39="",0,'초등학교+병설유치원(8월)'!R39)</x:f>
        <x:v>0</x:v>
      </x:c>
      <x:c r="G474" s="294" t="n">
        <x:f>IF('초등학교+병설유치원(8월)'!S39="",0,'초등학교+병설유치원(8월)'!S39)</x:f>
        <x:v>0</x:v>
      </x:c>
      <x:c r="H474" s="294" t="n">
        <x:f>IF('초등학교+병설유치원(8월)'!T39="",0,'초등학교+병설유치원(8월)'!T39)</x:f>
        <x:v>0</x:v>
      </x:c>
      <x:c r="I474" s="294" t="n">
        <x:f>IF('초등학교+병설유치원(8월)'!U39="",0,'초등학교+병설유치원(8월)'!U39)</x:f>
        <x:v>0</x:v>
      </x:c>
      <x:c r="J474" s="296" t="n">
        <x:f>SUM(E474:I474)</x:f>
        <x:v>17</x:v>
      </x:c>
      <x:c r="K474" s="291" t="str">
        <x:v>8월</x:v>
      </x:c>
    </x:row>
    <x:row r="475">
      <x:c r="A475" s="291" t="n">
        <x:f>IF('초등학교+병설유치원(8월)'!A39="","",'초등학교+병설유치원(8월)'!A39)</x:f>
        <x:v>24</x:v>
      </x:c>
      <x:c r="B475" s="291" t="str">
        <x:v>초등학교</x:v>
      </x:c>
      <x:c r="C475" s="291" t="str">
        <x:f>IF('초등학교+병설유치원(8월)'!B39="","",'초등학교+병설유치원(8월)'!B39)</x:f>
        <x:v>이리중앙초</x:v>
      </x:c>
      <x:c r="D475" s="293" t="n">
        <x:v>46238</x:v>
      </x:c>
      <x:c r="E475" s="294" t="n">
        <x:f>IF('초등학교+병설유치원(8월)'!W39="",0,'초등학교+병설유치원(8월)'!W39)</x:f>
        <x:v>17</x:v>
      </x:c>
      <x:c r="F475" s="294" t="n">
        <x:f>IF('초등학교+병설유치원(8월)'!X39="",0,'초등학교+병설유치원(8월)'!X39)</x:f>
        <x:v>0</x:v>
      </x:c>
      <x:c r="G475" s="294" t="n">
        <x:f>IF('초등학교+병설유치원(8월)'!Y39="",0,'초등학교+병설유치원(8월)'!Y39)</x:f>
        <x:v>0</x:v>
      </x:c>
      <x:c r="H475" s="294" t="n">
        <x:f>IF('초등학교+병설유치원(8월)'!Z39="",0,'초등학교+병설유치원(8월)'!Z39)</x:f>
        <x:v>0</x:v>
      </x:c>
      <x:c r="I475" s="294" t="n">
        <x:f>IF('초등학교+병설유치원(8월)'!AA39="",0,'초등학교+병설유치원(8월)'!AA39)</x:f>
        <x:v>0</x:v>
      </x:c>
      <x:c r="J475" s="296" t="n">
        <x:f>SUM(E475:I475)</x:f>
        <x:v>17</x:v>
      </x:c>
      <x:c r="K475" s="291" t="str">
        <x:v>8월</x:v>
      </x:c>
    </x:row>
    <x:row r="476">
      <x:c r="A476" s="291" t="n">
        <x:f>IF('초등학교+병설유치원(8월)'!A39="","",'초등학교+병설유치원(8월)'!A39)</x:f>
        <x:v>24</x:v>
      </x:c>
      <x:c r="B476" s="291" t="str">
        <x:v>초등학교</x:v>
      </x:c>
      <x:c r="C476" s="291" t="str">
        <x:f>IF('초등학교+병설유치원(8월)'!B39="","",'초등학교+병설유치원(8월)'!B39)</x:f>
        <x:v>이리중앙초</x:v>
      </x:c>
      <x:c r="D476" s="293" t="n">
        <x:v>46239</x:v>
      </x:c>
      <x:c r="E476" s="294" t="n">
        <x:f>IF('초등학교+병설유치원(8월)'!AC39="",0,'초등학교+병설유치원(8월)'!AC39)</x:f>
        <x:v>17</x:v>
      </x:c>
      <x:c r="F476" s="294" t="n">
        <x:f>IF('초등학교+병설유치원(8월)'!AD39="",0,'초등학교+병설유치원(8월)'!AD39)</x:f>
        <x:v>0</x:v>
      </x:c>
      <x:c r="G476" s="294" t="n">
        <x:f>IF('초등학교+병설유치원(8월)'!AE39="",0,'초등학교+병설유치원(8월)'!AE39)</x:f>
        <x:v>0</x:v>
      </x:c>
      <x:c r="H476" s="294" t="n">
        <x:f>IF('초등학교+병설유치원(8월)'!AF39="",0,'초등학교+병설유치원(8월)'!AF39)</x:f>
        <x:v>0</x:v>
      </x:c>
      <x:c r="I476" s="294" t="n">
        <x:f>IF('초등학교+병설유치원(8월)'!AG39="",0,'초등학교+병설유치원(8월)'!AG39)</x:f>
        <x:v>0</x:v>
      </x:c>
      <x:c r="J476" s="296" t="n">
        <x:f>SUM(E476:I476)</x:f>
        <x:v>17</x:v>
      </x:c>
      <x:c r="K476" s="291" t="str">
        <x:v>8월</x:v>
      </x:c>
    </x:row>
    <x:row r="477">
      <x:c r="A477" s="291" t="n">
        <x:f>IF('초등학교+병설유치원(8월)'!A39="","",'초등학교+병설유치원(8월)'!A39)</x:f>
        <x:v>24</x:v>
      </x:c>
      <x:c r="B477" s="291" t="str">
        <x:v>초등학교</x:v>
      </x:c>
      <x:c r="C477" s="291" t="str">
        <x:f>IF('초등학교+병설유치원(8월)'!B39="","",'초등학교+병설유치원(8월)'!B39)</x:f>
        <x:v>이리중앙초</x:v>
      </x:c>
      <x:c r="D477" s="293" t="n">
        <x:v>46240</x:v>
      </x:c>
      <x:c r="E477" s="294" t="n">
        <x:f>IF('초등학교+병설유치원(8월)'!AI39="",0,'초등학교+병설유치원(8월)'!AI39)</x:f>
        <x:v>17</x:v>
      </x:c>
      <x:c r="F477" s="294" t="n">
        <x:f>IF('초등학교+병설유치원(8월)'!AJ39="",0,'초등학교+병설유치원(8월)'!AJ39)</x:f>
        <x:v>0</x:v>
      </x:c>
      <x:c r="G477" s="294" t="n">
        <x:f>IF('초등학교+병설유치원(8월)'!AK39="",0,'초등학교+병설유치원(8월)'!AK39)</x:f>
        <x:v>0</x:v>
      </x:c>
      <x:c r="H477" s="294" t="n">
        <x:f>IF('초등학교+병설유치원(8월)'!AL39="",0,'초등학교+병설유치원(8월)'!AL39)</x:f>
        <x:v>0</x:v>
      </x:c>
      <x:c r="I477" s="294" t="n">
        <x:f>IF('초등학교+병설유치원(8월)'!AM39="",0,'초등학교+병설유치원(8월)'!AM39)</x:f>
        <x:v>0</x:v>
      </x:c>
      <x:c r="J477" s="296" t="n">
        <x:f>SUM(E477:I477)</x:f>
        <x:v>17</x:v>
      </x:c>
      <x:c r="K477" s="291" t="str">
        <x:v>8월</x:v>
      </x:c>
    </x:row>
    <x:row r="478">
      <x:c r="A478" s="291" t="n">
        <x:f>IF('초등학교+병설유치원(8월)'!A39="","",'초등학교+병설유치원(8월)'!A39)</x:f>
        <x:v>24</x:v>
      </x:c>
      <x:c r="B478" s="291" t="str">
        <x:v>초등학교</x:v>
      </x:c>
      <x:c r="C478" s="291" t="str">
        <x:f>IF('초등학교+병설유치원(8월)'!B39="","",'초등학교+병설유치원(8월)'!B39)</x:f>
        <x:v>이리중앙초</x:v>
      </x:c>
      <x:c r="D478" s="293" t="n">
        <x:v>46241</x:v>
      </x:c>
      <x:c r="E478" s="294" t="n">
        <x:f>IF('초등학교+병설유치원(8월)'!AO39="",0,'초등학교+병설유치원(8월)'!AO39)</x:f>
        <x:v>17</x:v>
      </x:c>
      <x:c r="F478" s="294" t="n">
        <x:f>IF('초등학교+병설유치원(8월)'!AP39="",0,'초등학교+병설유치원(8월)'!AP39)</x:f>
        <x:v>0</x:v>
      </x:c>
      <x:c r="G478" s="294" t="n">
        <x:f>IF('초등학교+병설유치원(8월)'!AQ39="",0,'초등학교+병설유치원(8월)'!AQ39)</x:f>
        <x:v>0</x:v>
      </x:c>
      <x:c r="H478" s="294" t="n">
        <x:f>IF('초등학교+병설유치원(8월)'!AR39="",0,'초등학교+병설유치원(8월)'!AR39)</x:f>
        <x:v>0</x:v>
      </x:c>
      <x:c r="I478" s="294" t="n">
        <x:f>IF('초등학교+병설유치원(8월)'!AS39="",0,'초등학교+병설유치원(8월)'!AS39)</x:f>
        <x:v>0</x:v>
      </x:c>
      <x:c r="J478" s="296" t="n">
        <x:f>SUM(E478:I478)</x:f>
        <x:v>17</x:v>
      </x:c>
      <x:c r="K478" s="291" t="str">
        <x:v>8월</x:v>
      </x:c>
    </x:row>
    <x:row r="479">
      <x:c r="A479" s="291" t="n">
        <x:f>IF('초등학교+병설유치원(8월)'!A39="","",'초등학교+병설유치원(8월)'!A39)</x:f>
        <x:v>24</x:v>
      </x:c>
      <x:c r="B479" s="291" t="str">
        <x:v>초등학교</x:v>
      </x:c>
      <x:c r="C479" s="291" t="str">
        <x:f>IF('초등학교+병설유치원(8월)'!B39="","",'초등학교+병설유치원(8월)'!B39)</x:f>
        <x:v>이리중앙초</x:v>
      </x:c>
      <x:c r="D479" s="293" t="n">
        <x:v>46244</x:v>
      </x:c>
      <x:c r="E479" s="294" t="n">
        <x:f>IF('초등학교+병설유치원(8월)'!AU39="",0,'초등학교+병설유치원(8월)'!AU39)</x:f>
        <x:v>17</x:v>
      </x:c>
      <x:c r="F479" s="294" t="n">
        <x:f>IF('초등학교+병설유치원(8월)'!AV39="",0,'초등학교+병설유치원(8월)'!AV39)</x:f>
        <x:v>0</x:v>
      </x:c>
      <x:c r="G479" s="294" t="n">
        <x:f>IF('초등학교+병설유치원(8월)'!AW39="",0,'초등학교+병설유치원(8월)'!AW39)</x:f>
        <x:v>0</x:v>
      </x:c>
      <x:c r="H479" s="294" t="n">
        <x:f>IF('초등학교+병설유치원(8월)'!AX39="",0,'초등학교+병설유치원(8월)'!AX39)</x:f>
        <x:v>0</x:v>
      </x:c>
      <x:c r="I479" s="294" t="n">
        <x:f>IF('초등학교+병설유치원(8월)'!AY39="",0,'초등학교+병설유치원(8월)'!AY39)</x:f>
        <x:v>0</x:v>
      </x:c>
      <x:c r="J479" s="296" t="n">
        <x:f>SUM(E479:I479)</x:f>
        <x:v>17</x:v>
      </x:c>
      <x:c r="K479" s="291" t="str">
        <x:v>8월</x:v>
      </x:c>
    </x:row>
    <x:row r="480">
      <x:c r="A480" s="291" t="n">
        <x:f>IF('초등학교+병설유치원(8월)'!A39="","",'초등학교+병설유치원(8월)'!A39)</x:f>
        <x:v>24</x:v>
      </x:c>
      <x:c r="B480" s="291" t="str">
        <x:v>초등학교</x:v>
      </x:c>
      <x:c r="C480" s="291" t="str">
        <x:f>IF('초등학교+병설유치원(8월)'!B39="","",'초등학교+병설유치원(8월)'!B39)</x:f>
        <x:v>이리중앙초</x:v>
      </x:c>
      <x:c r="D480" s="293" t="n">
        <x:v>46245</x:v>
      </x:c>
      <x:c r="E480" s="294" t="n">
        <x:f>IF('초등학교+병설유치원(8월)'!BA39="",0,'초등학교+병설유치원(8월)'!BA39)</x:f>
        <x:v>17</x:v>
      </x:c>
      <x:c r="F480" s="294" t="n">
        <x:f>IF('초등학교+병설유치원(8월)'!BB39="",0,'초등학교+병설유치원(8월)'!BB39)</x:f>
        <x:v>0</x:v>
      </x:c>
      <x:c r="G480" s="294" t="n">
        <x:f>IF('초등학교+병설유치원(8월)'!BC39="",0,'초등학교+병설유치원(8월)'!BC39)</x:f>
        <x:v>0</x:v>
      </x:c>
      <x:c r="H480" s="294" t="n">
        <x:f>IF('초등학교+병설유치원(8월)'!BD39="",0,'초등학교+병설유치원(8월)'!BD39)</x:f>
        <x:v>0</x:v>
      </x:c>
      <x:c r="I480" s="294" t="n">
        <x:f>IF('초등학교+병설유치원(8월)'!BE39="",0,'초등학교+병설유치원(8월)'!BE39)</x:f>
        <x:v>0</x:v>
      </x:c>
      <x:c r="J480" s="296" t="n">
        <x:f>SUM(E480:I480)</x:f>
        <x:v>17</x:v>
      </x:c>
      <x:c r="K480" s="291" t="str">
        <x:v>8월</x:v>
      </x:c>
    </x:row>
    <x:row r="481">
      <x:c r="A481" s="291" t="n">
        <x:f>IF('초등학교+병설유치원(8월)'!A39="","",'초등학교+병설유치원(8월)'!A39)</x:f>
        <x:v>24</x:v>
      </x:c>
      <x:c r="B481" s="291" t="str">
        <x:v>초등학교</x:v>
      </x:c>
      <x:c r="C481" s="291" t="str">
        <x:f>IF('초등학교+병설유치원(8월)'!B39="","",'초등학교+병설유치원(8월)'!B39)</x:f>
        <x:v>이리중앙초</x:v>
      </x:c>
      <x:c r="D481" s="293" t="n">
        <x:v>46246</x:v>
      </x:c>
      <x:c r="E481" s="294" t="n">
        <x:f>IF('초등학교+병설유치원(8월)'!BG39="",0,'초등학교+병설유치원(8월)'!BG39)</x:f>
        <x:v>17</x:v>
      </x:c>
      <x:c r="F481" s="294" t="n">
        <x:f>IF('초등학교+병설유치원(8월)'!BH39="",0,'초등학교+병설유치원(8월)'!BH39)</x:f>
        <x:v>0</x:v>
      </x:c>
      <x:c r="G481" s="294" t="n">
        <x:f>IF('초등학교+병설유치원(8월)'!BI39="",0,'초등학교+병설유치원(8월)'!BI39)</x:f>
        <x:v>0</x:v>
      </x:c>
      <x:c r="H481" s="294" t="n">
        <x:f>IF('초등학교+병설유치원(8월)'!BJ39="",0,'초등학교+병설유치원(8월)'!BJ39)</x:f>
        <x:v>0</x:v>
      </x:c>
      <x:c r="I481" s="294" t="n">
        <x:f>IF('초등학교+병설유치원(8월)'!BK39="",0,'초등학교+병설유치원(8월)'!BK39)</x:f>
        <x:v>0</x:v>
      </x:c>
      <x:c r="J481" s="296" t="n">
        <x:f>SUM(E481:I481)</x:f>
        <x:v>17</x:v>
      </x:c>
      <x:c r="K481" s="291" t="str">
        <x:v>8월</x:v>
      </x:c>
    </x:row>
    <x:row r="482">
      <x:c r="A482" s="291" t="n">
        <x:f>IF('초등학교+병설유치원(8월)'!A39="","",'초등학교+병설유치원(8월)'!A39)</x:f>
        <x:v>24</x:v>
      </x:c>
      <x:c r="B482" s="291" t="str">
        <x:v>초등학교</x:v>
      </x:c>
      <x:c r="C482" s="291" t="str">
        <x:f>IF('초등학교+병설유치원(8월)'!B39="","",'초등학교+병설유치원(8월)'!B39)</x:f>
        <x:v>이리중앙초</x:v>
      </x:c>
      <x:c r="D482" s="293" t="n">
        <x:v>46247</x:v>
      </x:c>
      <x:c r="E482" s="294" t="n">
        <x:f>IF('초등학교+병설유치원(8월)'!BM39="",0,'초등학교+병설유치원(8월)'!BM39)</x:f>
        <x:v>17</x:v>
      </x:c>
      <x:c r="F482" s="294" t="n">
        <x:f>IF('초등학교+병설유치원(8월)'!BN39="",0,'초등학교+병설유치원(8월)'!BN39)</x:f>
        <x:v>0</x:v>
      </x:c>
      <x:c r="G482" s="294" t="n">
        <x:f>IF('초등학교+병설유치원(8월)'!BO39="",0,'초등학교+병설유치원(8월)'!BO39)</x:f>
        <x:v>0</x:v>
      </x:c>
      <x:c r="H482" s="294" t="n">
        <x:f>IF('초등학교+병설유치원(8월)'!BP39="",0,'초등학교+병설유치원(8월)'!BP39)</x:f>
        <x:v>0</x:v>
      </x:c>
      <x:c r="I482" s="294" t="n">
        <x:f>IF('초등학교+병설유치원(8월)'!BQ39="",0,'초등학교+병설유치원(8월)'!BQ39)</x:f>
        <x:v>0</x:v>
      </x:c>
      <x:c r="J482" s="296" t="n">
        <x:f>SUM(E482:I482)</x:f>
        <x:v>17</x:v>
      </x:c>
      <x:c r="K482" s="291" t="str">
        <x:v>8월</x:v>
      </x:c>
    </x:row>
    <x:row r="483">
      <x:c r="A483" s="291" t="n">
        <x:f>IF('초등학교+병설유치원(8월)'!A39="","",'초등학교+병설유치원(8월)'!A39)</x:f>
        <x:v>24</x:v>
      </x:c>
      <x:c r="B483" s="291" t="str">
        <x:v>초등학교</x:v>
      </x:c>
      <x:c r="C483" s="291" t="str">
        <x:f>IF('초등학교+병설유치원(8월)'!B39="","",'초등학교+병설유치원(8월)'!B39)</x:f>
        <x:v>이리중앙초</x:v>
      </x:c>
      <x:c r="D483" s="293" t="n">
        <x:v>46248</x:v>
      </x:c>
      <x:c r="E483" s="294" t="n">
        <x:f>IF('초등학교+병설유치원(8월)'!BS39="",0,'초등학교+병설유치원(8월)'!BS39)</x:f>
        <x:v>17</x:v>
      </x:c>
      <x:c r="F483" s="294" t="n">
        <x:f>IF('초등학교+병설유치원(8월)'!BT39="",0,'초등학교+병설유치원(8월)'!BT39)</x:f>
        <x:v>0</x:v>
      </x:c>
      <x:c r="G483" s="294" t="n">
        <x:f>IF('초등학교+병설유치원(8월)'!BU39="",0,'초등학교+병설유치원(8월)'!BU39)</x:f>
        <x:v>0</x:v>
      </x:c>
      <x:c r="H483" s="294" t="n">
        <x:f>IF('초등학교+병설유치원(8월)'!BV39="",0,'초등학교+병설유치원(8월)'!BV39)</x:f>
        <x:v>0</x:v>
      </x:c>
      <x:c r="I483" s="294" t="n">
        <x:f>IF('초등학교+병설유치원(8월)'!BW39="",0,'초등학교+병설유치원(8월)'!BW39)</x:f>
        <x:v>0</x:v>
      </x:c>
      <x:c r="J483" s="296" t="n">
        <x:f>SUM(E483:I483)</x:f>
        <x:v>17</x:v>
      </x:c>
      <x:c r="K483" s="291" t="str">
        <x:v>8월</x:v>
      </x:c>
    </x:row>
    <x:row r="484">
      <x:c r="A484" s="291" t="n">
        <x:f>IF('초등학교+병설유치원(8월)'!A39="","",'초등학교+병설유치원(8월)'!A39)</x:f>
        <x:v>24</x:v>
      </x:c>
      <x:c r="B484" s="291" t="str">
        <x:v>초등학교</x:v>
      </x:c>
      <x:c r="C484" s="291" t="str">
        <x:f>IF('초등학교+병설유치원(8월)'!B39="","",'초등학교+병설유치원(8월)'!B39)</x:f>
        <x:v>이리중앙초</x:v>
      </x:c>
      <x:c r="D484" s="293" t="n">
        <x:v>46252</x:v>
      </x:c>
      <x:c r="E484" s="294" t="n">
        <x:f>IF('초등학교+병설유치원(8월)'!BY39="",0,'초등학교+병설유치원(8월)'!BY39)</x:f>
        <x:v>17</x:v>
      </x:c>
      <x:c r="F484" s="294" t="n">
        <x:f>IF('초등학교+병설유치원(8월)'!BZ39="",0,'초등학교+병설유치원(8월)'!BZ39)</x:f>
        <x:v>0</x:v>
      </x:c>
      <x:c r="G484" s="294" t="n">
        <x:f>IF('초등학교+병설유치원(8월)'!CA39="",0,'초등학교+병설유치원(8월)'!CA39)</x:f>
        <x:v>0</x:v>
      </x:c>
      <x:c r="H484" s="294" t="n">
        <x:f>IF('초등학교+병설유치원(8월)'!CB39="",0,'초등학교+병설유치원(8월)'!CB39)</x:f>
        <x:v>0</x:v>
      </x:c>
      <x:c r="I484" s="294" t="n">
        <x:f>IF('초등학교+병설유치원(8월)'!CC39="",0,'초등학교+병설유치원(8월)'!CC39)</x:f>
        <x:v>0</x:v>
      </x:c>
      <x:c r="J484" s="296" t="n">
        <x:f>SUM(E484:I484)</x:f>
        <x:v>17</x:v>
      </x:c>
      <x:c r="K484" s="291" t="str">
        <x:v>8월</x:v>
      </x:c>
    </x:row>
    <x:row r="485">
      <x:c r="A485" s="291" t="n">
        <x:f>IF('초등학교+병설유치원(8월)'!A39="","",'초등학교+병설유치원(8월)'!A39)</x:f>
        <x:v>24</x:v>
      </x:c>
      <x:c r="B485" s="291" t="str">
        <x:v>초등학교</x:v>
      </x:c>
      <x:c r="C485" s="291" t="str">
        <x:f>IF('초등학교+병설유치원(8월)'!B39="","",'초등학교+병설유치원(8월)'!B39)</x:f>
        <x:v>이리중앙초</x:v>
      </x:c>
      <x:c r="D485" s="293" t="n">
        <x:v>46253</x:v>
      </x:c>
      <x:c r="E485" s="294" t="n">
        <x:f>IF('초등학교+병설유치원(8월)'!CE39="",0,'초등학교+병설유치원(8월)'!CE39)</x:f>
        <x:v>17</x:v>
      </x:c>
      <x:c r="F485" s="294" t="n">
        <x:f>IF('초등학교+병설유치원(8월)'!CF39="",0,'초등학교+병설유치원(8월)'!CF39)</x:f>
        <x:v>0</x:v>
      </x:c>
      <x:c r="G485" s="294" t="n">
        <x:f>IF('초등학교+병설유치원(8월)'!CG39="",0,'초등학교+병설유치원(8월)'!CG39)</x:f>
        <x:v>0</x:v>
      </x:c>
      <x:c r="H485" s="294" t="n">
        <x:f>IF('초등학교+병설유치원(8월)'!CH39="",0,'초등학교+병설유치원(8월)'!CH39)</x:f>
        <x:v>0</x:v>
      </x:c>
      <x:c r="I485" s="294" t="n">
        <x:f>IF('초등학교+병설유치원(8월)'!CI39="",0,'초등학교+병설유치원(8월)'!CI39)</x:f>
        <x:v>0</x:v>
      </x:c>
      <x:c r="J485" s="296" t="n">
        <x:f>SUM(E485:I485)</x:f>
        <x:v>17</x:v>
      </x:c>
      <x:c r="K485" s="291" t="str">
        <x:v>8월</x:v>
      </x:c>
    </x:row>
    <x:row r="486">
      <x:c r="A486" s="291" t="str">
        <x:f>IF('초등학교+병설유치원(8월)'!A40="","",'초등학교+병설유치원(8월)'!A40)</x:f>
        <x:v>24-1</x:v>
      </x:c>
      <x:c r="B486" s="291" t="str">
        <x:v>병설유치원</x:v>
      </x:c>
      <x:c r="C486" s="291" t="str">
        <x:f>IF('초등학교+병설유치원(8월)'!B40="","",'초등학교+병설유치원(8월)'!B40)</x:f>
        <x:v>이리중앙초 병설유치원</x:v>
      </x:c>
      <x:c r="D486" s="293" t="n">
        <x:v>46237</x:v>
      </x:c>
      <x:c r="E486" s="294" t="n">
        <x:f>IF('초등학교+병설유치원(8월)'!Q40="",0,'초등학교+병설유치원(8월)'!Q40)</x:f>
        <x:v>4</x:v>
      </x:c>
      <x:c r="F486" s="294" t="n">
        <x:f>IF('초등학교+병설유치원(8월)'!R40="",0,'초등학교+병설유치원(8월)'!R40)</x:f>
        <x:v>0</x:v>
      </x:c>
      <x:c r="G486" s="294" t="n">
        <x:f>IF('초등학교+병설유치원(8월)'!S40="",0,'초등학교+병설유치원(8월)'!S40)</x:f>
        <x:v>0</x:v>
      </x:c>
      <x:c r="H486" s="294" t="n">
        <x:f>IF('초등학교+병설유치원(8월)'!T40="",0,'초등학교+병설유치원(8월)'!T40)</x:f>
        <x:v>0</x:v>
      </x:c>
      <x:c r="I486" s="294" t="n">
        <x:f>IF('초등학교+병설유치원(8월)'!U40="",0,'초등학교+병설유치원(8월)'!U40)</x:f>
        <x:v>0</x:v>
      </x:c>
      <x:c r="J486" s="296" t="n">
        <x:f>SUM(E486:I486)</x:f>
        <x:v>4</x:v>
      </x:c>
      <x:c r="K486" s="291" t="str">
        <x:v>8월</x:v>
      </x:c>
    </x:row>
    <x:row r="487">
      <x:c r="A487" s="291" t="str">
        <x:f>IF('초등학교+병설유치원(8월)'!A40="","",'초등학교+병설유치원(8월)'!A40)</x:f>
        <x:v>24-1</x:v>
      </x:c>
      <x:c r="B487" s="291" t="str">
        <x:v>병설유치원</x:v>
      </x:c>
      <x:c r="C487" s="291" t="str">
        <x:f>IF('초등학교+병설유치원(8월)'!B40="","",'초등학교+병설유치원(8월)'!B40)</x:f>
        <x:v>이리중앙초 병설유치원</x:v>
      </x:c>
      <x:c r="D487" s="293" t="n">
        <x:v>46238</x:v>
      </x:c>
      <x:c r="E487" s="294" t="n">
        <x:f>IF('초등학교+병설유치원(8월)'!W40="",0,'초등학교+병설유치원(8월)'!W40)</x:f>
        <x:v>4</x:v>
      </x:c>
      <x:c r="F487" s="294" t="n">
        <x:f>IF('초등학교+병설유치원(8월)'!X40="",0,'초등학교+병설유치원(8월)'!X40)</x:f>
        <x:v>0</x:v>
      </x:c>
      <x:c r="G487" s="294" t="n">
        <x:f>IF('초등학교+병설유치원(8월)'!Y40="",0,'초등학교+병설유치원(8월)'!Y40)</x:f>
        <x:v>0</x:v>
      </x:c>
      <x:c r="H487" s="294" t="n">
        <x:f>IF('초등학교+병설유치원(8월)'!Z40="",0,'초등학교+병설유치원(8월)'!Z40)</x:f>
        <x:v>0</x:v>
      </x:c>
      <x:c r="I487" s="294" t="n">
        <x:f>IF('초등학교+병설유치원(8월)'!AA40="",0,'초등학교+병설유치원(8월)'!AA40)</x:f>
        <x:v>0</x:v>
      </x:c>
      <x:c r="J487" s="296" t="n">
        <x:f>SUM(E487:I487)</x:f>
        <x:v>4</x:v>
      </x:c>
      <x:c r="K487" s="291" t="str">
        <x:v>8월</x:v>
      </x:c>
    </x:row>
    <x:row r="488">
      <x:c r="A488" s="291" t="str">
        <x:f>IF('초등학교+병설유치원(8월)'!A40="","",'초등학교+병설유치원(8월)'!A40)</x:f>
        <x:v>24-1</x:v>
      </x:c>
      <x:c r="B488" s="291" t="str">
        <x:v>병설유치원</x:v>
      </x:c>
      <x:c r="C488" s="291" t="str">
        <x:f>IF('초등학교+병설유치원(8월)'!B40="","",'초등학교+병설유치원(8월)'!B40)</x:f>
        <x:v>이리중앙초 병설유치원</x:v>
      </x:c>
      <x:c r="D488" s="293" t="n">
        <x:v>46239</x:v>
      </x:c>
      <x:c r="E488" s="294" t="n">
        <x:f>IF('초등학교+병설유치원(8월)'!AC40="",0,'초등학교+병설유치원(8월)'!AC40)</x:f>
        <x:v>4</x:v>
      </x:c>
      <x:c r="F488" s="294" t="n">
        <x:f>IF('초등학교+병설유치원(8월)'!AD40="",0,'초등학교+병설유치원(8월)'!AD40)</x:f>
        <x:v>0</x:v>
      </x:c>
      <x:c r="G488" s="294" t="n">
        <x:f>IF('초등학교+병설유치원(8월)'!AE40="",0,'초등학교+병설유치원(8월)'!AE40)</x:f>
        <x:v>0</x:v>
      </x:c>
      <x:c r="H488" s="294" t="n">
        <x:f>IF('초등학교+병설유치원(8월)'!AF40="",0,'초등학교+병설유치원(8월)'!AF40)</x:f>
        <x:v>0</x:v>
      </x:c>
      <x:c r="I488" s="294" t="n">
        <x:f>IF('초등학교+병설유치원(8월)'!AG40="",0,'초등학교+병설유치원(8월)'!AG40)</x:f>
        <x:v>0</x:v>
      </x:c>
      <x:c r="J488" s="296" t="n">
        <x:f>SUM(E488:I488)</x:f>
        <x:v>4</x:v>
      </x:c>
      <x:c r="K488" s="291" t="str">
        <x:v>8월</x:v>
      </x:c>
    </x:row>
    <x:row r="489">
      <x:c r="A489" s="291" t="str">
        <x:f>IF('초등학교+병설유치원(8월)'!A40="","",'초등학교+병설유치원(8월)'!A40)</x:f>
        <x:v>24-1</x:v>
      </x:c>
      <x:c r="B489" s="291" t="str">
        <x:v>병설유치원</x:v>
      </x:c>
      <x:c r="C489" s="291" t="str">
        <x:f>IF('초등학교+병설유치원(8월)'!B40="","",'초등학교+병설유치원(8월)'!B40)</x:f>
        <x:v>이리중앙초 병설유치원</x:v>
      </x:c>
      <x:c r="D489" s="293" t="n">
        <x:v>46240</x:v>
      </x:c>
      <x:c r="E489" s="294" t="n">
        <x:f>IF('초등학교+병설유치원(8월)'!AI40="",0,'초등학교+병설유치원(8월)'!AI40)</x:f>
        <x:v>4</x:v>
      </x:c>
      <x:c r="F489" s="294" t="n">
        <x:f>IF('초등학교+병설유치원(8월)'!AJ40="",0,'초등학교+병설유치원(8월)'!AJ40)</x:f>
        <x:v>0</x:v>
      </x:c>
      <x:c r="G489" s="294" t="n">
        <x:f>IF('초등학교+병설유치원(8월)'!AK40="",0,'초등학교+병설유치원(8월)'!AK40)</x:f>
        <x:v>0</x:v>
      </x:c>
      <x:c r="H489" s="294" t="n">
        <x:f>IF('초등학교+병설유치원(8월)'!AL40="",0,'초등학교+병설유치원(8월)'!AL40)</x:f>
        <x:v>0</x:v>
      </x:c>
      <x:c r="I489" s="294" t="n">
        <x:f>IF('초등학교+병설유치원(8월)'!AM40="",0,'초등학교+병설유치원(8월)'!AM40)</x:f>
        <x:v>0</x:v>
      </x:c>
      <x:c r="J489" s="296" t="n">
        <x:f>SUM(E489:I489)</x:f>
        <x:v>4</x:v>
      </x:c>
      <x:c r="K489" s="291" t="str">
        <x:v>8월</x:v>
      </x:c>
    </x:row>
    <x:row r="490">
      <x:c r="A490" s="291" t="str">
        <x:f>IF('초등학교+병설유치원(8월)'!A40="","",'초등학교+병설유치원(8월)'!A40)</x:f>
        <x:v>24-1</x:v>
      </x:c>
      <x:c r="B490" s="291" t="str">
        <x:v>병설유치원</x:v>
      </x:c>
      <x:c r="C490" s="291" t="str">
        <x:f>IF('초등학교+병설유치원(8월)'!B40="","",'초등학교+병설유치원(8월)'!B40)</x:f>
        <x:v>이리중앙초 병설유치원</x:v>
      </x:c>
      <x:c r="D490" s="293" t="n">
        <x:v>46241</x:v>
      </x:c>
      <x:c r="E490" s="294" t="n">
        <x:f>IF('초등학교+병설유치원(8월)'!AO40="",0,'초등학교+병설유치원(8월)'!AO40)</x:f>
        <x:v>4</x:v>
      </x:c>
      <x:c r="F490" s="294" t="n">
        <x:f>IF('초등학교+병설유치원(8월)'!AP40="",0,'초등학교+병설유치원(8월)'!AP40)</x:f>
        <x:v>0</x:v>
      </x:c>
      <x:c r="G490" s="294" t="n">
        <x:f>IF('초등학교+병설유치원(8월)'!AQ40="",0,'초등학교+병설유치원(8월)'!AQ40)</x:f>
        <x:v>0</x:v>
      </x:c>
      <x:c r="H490" s="294" t="n">
        <x:f>IF('초등학교+병설유치원(8월)'!AR40="",0,'초등학교+병설유치원(8월)'!AR40)</x:f>
        <x:v>0</x:v>
      </x:c>
      <x:c r="I490" s="294" t="n">
        <x:f>IF('초등학교+병설유치원(8월)'!AS40="",0,'초등학교+병설유치원(8월)'!AS40)</x:f>
        <x:v>0</x:v>
      </x:c>
      <x:c r="J490" s="296" t="n">
        <x:f>SUM(E490:I490)</x:f>
        <x:v>4</x:v>
      </x:c>
      <x:c r="K490" s="291" t="str">
        <x:v>8월</x:v>
      </x:c>
    </x:row>
    <x:row r="491">
      <x:c r="A491" s="291" t="str">
        <x:f>IF('초등학교+병설유치원(8월)'!A40="","",'초등학교+병설유치원(8월)'!A40)</x:f>
        <x:v>24-1</x:v>
      </x:c>
      <x:c r="B491" s="291" t="str">
        <x:v>병설유치원</x:v>
      </x:c>
      <x:c r="C491" s="291" t="str">
        <x:f>IF('초등학교+병설유치원(8월)'!B40="","",'초등학교+병설유치원(8월)'!B40)</x:f>
        <x:v>이리중앙초 병설유치원</x:v>
      </x:c>
      <x:c r="D491" s="293" t="n">
        <x:v>46244</x:v>
      </x:c>
      <x:c r="E491" s="294" t="n">
        <x:f>IF('초등학교+병설유치원(8월)'!AU40="",0,'초등학교+병설유치원(8월)'!AU40)</x:f>
        <x:v>4</x:v>
      </x:c>
      <x:c r="F491" s="294" t="n">
        <x:f>IF('초등학교+병설유치원(8월)'!AV40="",0,'초등학교+병설유치원(8월)'!AV40)</x:f>
        <x:v>0</x:v>
      </x:c>
      <x:c r="G491" s="294" t="n">
        <x:f>IF('초등학교+병설유치원(8월)'!AW40="",0,'초등학교+병설유치원(8월)'!AW40)</x:f>
        <x:v>0</x:v>
      </x:c>
      <x:c r="H491" s="294" t="n">
        <x:f>IF('초등학교+병설유치원(8월)'!AX40="",0,'초등학교+병설유치원(8월)'!AX40)</x:f>
        <x:v>0</x:v>
      </x:c>
      <x:c r="I491" s="294" t="n">
        <x:f>IF('초등학교+병설유치원(8월)'!AY40="",0,'초등학교+병설유치원(8월)'!AY40)</x:f>
        <x:v>0</x:v>
      </x:c>
      <x:c r="J491" s="296" t="n">
        <x:f>SUM(E491:I491)</x:f>
        <x:v>4</x:v>
      </x:c>
      <x:c r="K491" s="291" t="str">
        <x:v>8월</x:v>
      </x:c>
    </x:row>
    <x:row r="492">
      <x:c r="A492" s="291" t="str">
        <x:f>IF('초등학교+병설유치원(8월)'!A40="","",'초등학교+병설유치원(8월)'!A40)</x:f>
        <x:v>24-1</x:v>
      </x:c>
      <x:c r="B492" s="291" t="str">
        <x:v>병설유치원</x:v>
      </x:c>
      <x:c r="C492" s="291" t="str">
        <x:f>IF('초등학교+병설유치원(8월)'!B40="","",'초등학교+병설유치원(8월)'!B40)</x:f>
        <x:v>이리중앙초 병설유치원</x:v>
      </x:c>
      <x:c r="D492" s="293" t="n">
        <x:v>46245</x:v>
      </x:c>
      <x:c r="E492" s="294" t="n">
        <x:f>IF('초등학교+병설유치원(8월)'!BA40="",0,'초등학교+병설유치원(8월)'!BA40)</x:f>
        <x:v>4</x:v>
      </x:c>
      <x:c r="F492" s="294" t="n">
        <x:f>IF('초등학교+병설유치원(8월)'!BB40="",0,'초등학교+병설유치원(8월)'!BB40)</x:f>
        <x:v>0</x:v>
      </x:c>
      <x:c r="G492" s="294" t="n">
        <x:f>IF('초등학교+병설유치원(8월)'!BC40="",0,'초등학교+병설유치원(8월)'!BC40)</x:f>
        <x:v>0</x:v>
      </x:c>
      <x:c r="H492" s="294" t="n">
        <x:f>IF('초등학교+병설유치원(8월)'!BD40="",0,'초등학교+병설유치원(8월)'!BD40)</x:f>
        <x:v>0</x:v>
      </x:c>
      <x:c r="I492" s="294" t="n">
        <x:f>IF('초등학교+병설유치원(8월)'!BE40="",0,'초등학교+병설유치원(8월)'!BE40)</x:f>
        <x:v>0</x:v>
      </x:c>
      <x:c r="J492" s="296" t="n">
        <x:f>SUM(E492:I492)</x:f>
        <x:v>4</x:v>
      </x:c>
      <x:c r="K492" s="291" t="str">
        <x:v>8월</x:v>
      </x:c>
    </x:row>
    <x:row r="493">
      <x:c r="A493" s="291" t="str">
        <x:f>IF('초등학교+병설유치원(8월)'!A40="","",'초등학교+병설유치원(8월)'!A40)</x:f>
        <x:v>24-1</x:v>
      </x:c>
      <x:c r="B493" s="291" t="str">
        <x:v>병설유치원</x:v>
      </x:c>
      <x:c r="C493" s="291" t="str">
        <x:f>IF('초등학교+병설유치원(8월)'!B40="","",'초등학교+병설유치원(8월)'!B40)</x:f>
        <x:v>이리중앙초 병설유치원</x:v>
      </x:c>
      <x:c r="D493" s="293" t="n">
        <x:v>46246</x:v>
      </x:c>
      <x:c r="E493" s="294" t="n">
        <x:f>IF('초등학교+병설유치원(8월)'!BG40="",0,'초등학교+병설유치원(8월)'!BG40)</x:f>
        <x:v>4</x:v>
      </x:c>
      <x:c r="F493" s="294" t="n">
        <x:f>IF('초등학교+병설유치원(8월)'!BH40="",0,'초등학교+병설유치원(8월)'!BH40)</x:f>
        <x:v>0</x:v>
      </x:c>
      <x:c r="G493" s="294" t="n">
        <x:f>IF('초등학교+병설유치원(8월)'!BI40="",0,'초등학교+병설유치원(8월)'!BI40)</x:f>
        <x:v>0</x:v>
      </x:c>
      <x:c r="H493" s="294" t="n">
        <x:f>IF('초등학교+병설유치원(8월)'!BJ40="",0,'초등학교+병설유치원(8월)'!BJ40)</x:f>
        <x:v>0</x:v>
      </x:c>
      <x:c r="I493" s="294" t="n">
        <x:f>IF('초등학교+병설유치원(8월)'!BK40="",0,'초등학교+병설유치원(8월)'!BK40)</x:f>
        <x:v>0</x:v>
      </x:c>
      <x:c r="J493" s="296" t="n">
        <x:f>SUM(E493:I493)</x:f>
        <x:v>4</x:v>
      </x:c>
      <x:c r="K493" s="291" t="str">
        <x:v>8월</x:v>
      </x:c>
    </x:row>
    <x:row r="494">
      <x:c r="A494" s="291" t="str">
        <x:f>IF('초등학교+병설유치원(8월)'!A40="","",'초등학교+병설유치원(8월)'!A40)</x:f>
        <x:v>24-1</x:v>
      </x:c>
      <x:c r="B494" s="291" t="str">
        <x:v>병설유치원</x:v>
      </x:c>
      <x:c r="C494" s="291" t="str">
        <x:f>IF('초등학교+병설유치원(8월)'!B40="","",'초등학교+병설유치원(8월)'!B40)</x:f>
        <x:v>이리중앙초 병설유치원</x:v>
      </x:c>
      <x:c r="D494" s="293" t="n">
        <x:v>46247</x:v>
      </x:c>
      <x:c r="E494" s="294" t="n">
        <x:f>IF('초등학교+병설유치원(8월)'!BM40="",0,'초등학교+병설유치원(8월)'!BM40)</x:f>
        <x:v>4</x:v>
      </x:c>
      <x:c r="F494" s="294" t="n">
        <x:f>IF('초등학교+병설유치원(8월)'!BN40="",0,'초등학교+병설유치원(8월)'!BN40)</x:f>
        <x:v>0</x:v>
      </x:c>
      <x:c r="G494" s="294" t="n">
        <x:f>IF('초등학교+병설유치원(8월)'!BO40="",0,'초등학교+병설유치원(8월)'!BO40)</x:f>
        <x:v>0</x:v>
      </x:c>
      <x:c r="H494" s="294" t="n">
        <x:f>IF('초등학교+병설유치원(8월)'!BP40="",0,'초등학교+병설유치원(8월)'!BP40)</x:f>
        <x:v>0</x:v>
      </x:c>
      <x:c r="I494" s="294" t="n">
        <x:f>IF('초등학교+병설유치원(8월)'!BQ40="",0,'초등학교+병설유치원(8월)'!BQ40)</x:f>
        <x:v>0</x:v>
      </x:c>
      <x:c r="J494" s="296" t="n">
        <x:f>SUM(E494:I494)</x:f>
        <x:v>4</x:v>
      </x:c>
      <x:c r="K494" s="291" t="str">
        <x:v>8월</x:v>
      </x:c>
    </x:row>
    <x:row r="495">
      <x:c r="A495" s="291" t="str">
        <x:f>IF('초등학교+병설유치원(8월)'!A40="","",'초등학교+병설유치원(8월)'!A40)</x:f>
        <x:v>24-1</x:v>
      </x:c>
      <x:c r="B495" s="291" t="str">
        <x:v>병설유치원</x:v>
      </x:c>
      <x:c r="C495" s="291" t="str">
        <x:f>IF('초등학교+병설유치원(8월)'!B40="","",'초등학교+병설유치원(8월)'!B40)</x:f>
        <x:v>이리중앙초 병설유치원</x:v>
      </x:c>
      <x:c r="D495" s="293" t="n">
        <x:v>46248</x:v>
      </x:c>
      <x:c r="E495" s="294" t="n">
        <x:f>IF('초등학교+병설유치원(8월)'!BS40="",0,'초등학교+병설유치원(8월)'!BS40)</x:f>
        <x:v>4</x:v>
      </x:c>
      <x:c r="F495" s="294" t="n">
        <x:f>IF('초등학교+병설유치원(8월)'!BT40="",0,'초등학교+병설유치원(8월)'!BT40)</x:f>
        <x:v>0</x:v>
      </x:c>
      <x:c r="G495" s="294" t="n">
        <x:f>IF('초등학교+병설유치원(8월)'!BU40="",0,'초등학교+병설유치원(8월)'!BU40)</x:f>
        <x:v>0</x:v>
      </x:c>
      <x:c r="H495" s="294" t="n">
        <x:f>IF('초등학교+병설유치원(8월)'!BV40="",0,'초등학교+병설유치원(8월)'!BV40)</x:f>
        <x:v>0</x:v>
      </x:c>
      <x:c r="I495" s="294" t="n">
        <x:f>IF('초등학교+병설유치원(8월)'!BW40="",0,'초등학교+병설유치원(8월)'!BW40)</x:f>
        <x:v>0</x:v>
      </x:c>
      <x:c r="J495" s="296" t="n">
        <x:f>SUM(E495:I495)</x:f>
        <x:v>4</x:v>
      </x:c>
      <x:c r="K495" s="291" t="str">
        <x:v>8월</x:v>
      </x:c>
    </x:row>
    <x:row r="496">
      <x:c r="A496" s="291" t="str">
        <x:f>IF('초등학교+병설유치원(8월)'!A40="","",'초등학교+병설유치원(8월)'!A40)</x:f>
        <x:v>24-1</x:v>
      </x:c>
      <x:c r="B496" s="291" t="str">
        <x:v>병설유치원</x:v>
      </x:c>
      <x:c r="C496" s="291" t="str">
        <x:f>IF('초등학교+병설유치원(8월)'!B40="","",'초등학교+병설유치원(8월)'!B40)</x:f>
        <x:v>이리중앙초 병설유치원</x:v>
      </x:c>
      <x:c r="D496" s="293" t="n">
        <x:v>46252</x:v>
      </x:c>
      <x:c r="E496" s="294" t="n">
        <x:f>IF('초등학교+병설유치원(8월)'!BY40="",0,'초등학교+병설유치원(8월)'!BY40)</x:f>
        <x:v>4</x:v>
      </x:c>
      <x:c r="F496" s="294" t="n">
        <x:f>IF('초등학교+병설유치원(8월)'!BZ40="",0,'초등학교+병설유치원(8월)'!BZ40)</x:f>
        <x:v>0</x:v>
      </x:c>
      <x:c r="G496" s="294" t="n">
        <x:f>IF('초등학교+병설유치원(8월)'!CA40="",0,'초등학교+병설유치원(8월)'!CA40)</x:f>
        <x:v>0</x:v>
      </x:c>
      <x:c r="H496" s="294" t="n">
        <x:f>IF('초등학교+병설유치원(8월)'!CB40="",0,'초등학교+병설유치원(8월)'!CB40)</x:f>
        <x:v>0</x:v>
      </x:c>
      <x:c r="I496" s="294" t="n">
        <x:f>IF('초등학교+병설유치원(8월)'!CC40="",0,'초등학교+병설유치원(8월)'!CC40)</x:f>
        <x:v>0</x:v>
      </x:c>
      <x:c r="J496" s="296" t="n">
        <x:f>SUM(E496:I496)</x:f>
        <x:v>4</x:v>
      </x:c>
      <x:c r="K496" s="291" t="str">
        <x:v>8월</x:v>
      </x:c>
    </x:row>
    <x:row r="497">
      <x:c r="A497" s="291" t="str">
        <x:f>IF('초등학교+병설유치원(8월)'!A40="","",'초등학교+병설유치원(8월)'!A40)</x:f>
        <x:v>24-1</x:v>
      </x:c>
      <x:c r="B497" s="291" t="str">
        <x:v>병설유치원</x:v>
      </x:c>
      <x:c r="C497" s="291" t="str">
        <x:f>IF('초등학교+병설유치원(8월)'!B40="","",'초등학교+병설유치원(8월)'!B40)</x:f>
        <x:v>이리중앙초 병설유치원</x:v>
      </x:c>
      <x:c r="D497" s="293" t="n">
        <x:v>46253</x:v>
      </x:c>
      <x:c r="E497" s="294" t="n">
        <x:f>IF('초등학교+병설유치원(8월)'!CE40="",0,'초등학교+병설유치원(8월)'!CE40)</x:f>
        <x:v>4</x:v>
      </x:c>
      <x:c r="F497" s="294" t="n">
        <x:f>IF('초등학교+병설유치원(8월)'!CF40="",0,'초등학교+병설유치원(8월)'!CF40)</x:f>
        <x:v>0</x:v>
      </x:c>
      <x:c r="G497" s="294" t="n">
        <x:f>IF('초등학교+병설유치원(8월)'!CG40="",0,'초등학교+병설유치원(8월)'!CG40)</x:f>
        <x:v>0</x:v>
      </x:c>
      <x:c r="H497" s="294" t="n">
        <x:f>IF('초등학교+병설유치원(8월)'!CH40="",0,'초등학교+병설유치원(8월)'!CH40)</x:f>
        <x:v>0</x:v>
      </x:c>
      <x:c r="I497" s="294" t="n">
        <x:f>IF('초등학교+병설유치원(8월)'!CI40="",0,'초등학교+병설유치원(8월)'!CI40)</x:f>
        <x:v>0</x:v>
      </x:c>
      <x:c r="J497" s="296" t="n">
        <x:f>SUM(E497:I497)</x:f>
        <x:v>4</x:v>
      </x:c>
      <x:c r="K497" s="291" t="str">
        <x:v>8월</x:v>
      </x:c>
    </x:row>
    <x:row r="498">
      <x:c r="A498" s="291" t="n">
        <x:f>IF('초등학교+병설유치원(8월)'!A41="","",'초등학교+병설유치원(8월)'!A41)</x:f>
        <x:v>25</x:v>
      </x:c>
      <x:c r="B498" s="291" t="str">
        <x:v>초등학교</x:v>
      </x:c>
      <x:c r="C498" s="291" t="str">
        <x:f>IF('초등학교+병설유치원(8월)'!B41="","",'초등학교+병설유치원(8월)'!B41)</x:f>
        <x:v>이리초</x:v>
      </x:c>
      <x:c r="D498" s="293" t="n">
        <x:v>46237</x:v>
      </x:c>
      <x:c r="E498" s="294" t="n">
        <x:f>IF('초등학교+병설유치원(8월)'!Q41="",0,'초등학교+병설유치원(8월)'!Q41)</x:f>
        <x:v>23</x:v>
      </x:c>
      <x:c r="F498" s="294" t="n">
        <x:f>IF('초등학교+병설유치원(8월)'!R41="",0,'초등학교+병설유치원(8월)'!R41)</x:f>
        <x:v>22</x:v>
      </x:c>
      <x:c r="G498" s="294" t="n">
        <x:f>IF('초등학교+병설유치원(8월)'!S41="",0,'초등학교+병설유치원(8월)'!S41)</x:f>
        <x:v>19</x:v>
      </x:c>
      <x:c r="H498" s="294" t="n">
        <x:f>IF('초등학교+병설유치원(8월)'!T41="",0,'초등학교+병설유치원(8월)'!T41)</x:f>
        <x:v>0</x:v>
      </x:c>
      <x:c r="I498" s="294" t="n">
        <x:f>IF('초등학교+병설유치원(8월)'!U41="",0,'초등학교+병설유치원(8월)'!U41)</x:f>
        <x:v>21</x:v>
      </x:c>
      <x:c r="J498" s="296" t="n">
        <x:f>SUM(E498:I498)</x:f>
        <x:v>85</x:v>
      </x:c>
      <x:c r="K498" s="291" t="str">
        <x:v>8월</x:v>
      </x:c>
    </x:row>
    <x:row r="499">
      <x:c r="A499" s="291" t="n">
        <x:f>IF('초등학교+병설유치원(8월)'!A41="","",'초등학교+병설유치원(8월)'!A41)</x:f>
        <x:v>25</x:v>
      </x:c>
      <x:c r="B499" s="291" t="str">
        <x:v>초등학교</x:v>
      </x:c>
      <x:c r="C499" s="291" t="str">
        <x:f>IF('초등학교+병설유치원(8월)'!B41="","",'초등학교+병설유치원(8월)'!B41)</x:f>
        <x:v>이리초</x:v>
      </x:c>
      <x:c r="D499" s="293" t="n">
        <x:v>46238</x:v>
      </x:c>
      <x:c r="E499" s="294" t="n">
        <x:f>IF('초등학교+병설유치원(8월)'!W41="",0,'초등학교+병설유치원(8월)'!W41)</x:f>
        <x:v>23</x:v>
      </x:c>
      <x:c r="F499" s="294" t="n">
        <x:f>IF('초등학교+병설유치원(8월)'!X41="",0,'초등학교+병설유치원(8월)'!X41)</x:f>
        <x:v>22</x:v>
      </x:c>
      <x:c r="G499" s="294" t="n">
        <x:f>IF('초등학교+병설유치원(8월)'!Y41="",0,'초등학교+병설유치원(8월)'!Y41)</x:f>
        <x:v>19</x:v>
      </x:c>
      <x:c r="H499" s="294" t="n">
        <x:f>IF('초등학교+병설유치원(8월)'!Z41="",0,'초등학교+병설유치원(8월)'!Z41)</x:f>
        <x:v>0</x:v>
      </x:c>
      <x:c r="I499" s="294" t="n">
        <x:f>IF('초등학교+병설유치원(8월)'!AA41="",0,'초등학교+병설유치원(8월)'!AA41)</x:f>
        <x:v>21</x:v>
      </x:c>
      <x:c r="J499" s="296" t="n">
        <x:f>SUM(E499:I499)</x:f>
        <x:v>85</x:v>
      </x:c>
      <x:c r="K499" s="291" t="str">
        <x:v>8월</x:v>
      </x:c>
    </x:row>
    <x:row r="500">
      <x:c r="A500" s="291" t="n">
        <x:f>IF('초등학교+병설유치원(8월)'!A41="","",'초등학교+병설유치원(8월)'!A41)</x:f>
        <x:v>25</x:v>
      </x:c>
      <x:c r="B500" s="291" t="str">
        <x:v>초등학교</x:v>
      </x:c>
      <x:c r="C500" s="291" t="str">
        <x:f>IF('초등학교+병설유치원(8월)'!B41="","",'초등학교+병설유치원(8월)'!B41)</x:f>
        <x:v>이리초</x:v>
      </x:c>
      <x:c r="D500" s="293" t="n">
        <x:v>46239</x:v>
      </x:c>
      <x:c r="E500" s="294" t="n">
        <x:f>IF('초등학교+병설유치원(8월)'!AC41="",0,'초등학교+병설유치원(8월)'!AC41)</x:f>
        <x:v>23</x:v>
      </x:c>
      <x:c r="F500" s="294" t="n">
        <x:f>IF('초등학교+병설유치원(8월)'!AD41="",0,'초등학교+병설유치원(8월)'!AD41)</x:f>
        <x:v>22</x:v>
      </x:c>
      <x:c r="G500" s="294" t="n">
        <x:f>IF('초등학교+병설유치원(8월)'!AE41="",0,'초등학교+병설유치원(8월)'!AE41)</x:f>
        <x:v>19</x:v>
      </x:c>
      <x:c r="H500" s="294" t="n">
        <x:f>IF('초등학교+병설유치원(8월)'!AF41="",0,'초등학교+병설유치원(8월)'!AF41)</x:f>
        <x:v>0</x:v>
      </x:c>
      <x:c r="I500" s="294" t="n">
        <x:f>IF('초등학교+병설유치원(8월)'!AG41="",0,'초등학교+병설유치원(8월)'!AG41)</x:f>
        <x:v>21</x:v>
      </x:c>
      <x:c r="J500" s="296" t="n">
        <x:f>SUM(E500:I500)</x:f>
        <x:v>85</x:v>
      </x:c>
      <x:c r="K500" s="291" t="str">
        <x:v>8월</x:v>
      </x:c>
    </x:row>
    <x:row r="501">
      <x:c r="A501" s="291" t="n">
        <x:f>IF('초등학교+병설유치원(8월)'!A41="","",'초등학교+병설유치원(8월)'!A41)</x:f>
        <x:v>25</x:v>
      </x:c>
      <x:c r="B501" s="291" t="str">
        <x:v>초등학교</x:v>
      </x:c>
      <x:c r="C501" s="291" t="str">
        <x:f>IF('초등학교+병설유치원(8월)'!B41="","",'초등학교+병설유치원(8월)'!B41)</x:f>
        <x:v>이리초</x:v>
      </x:c>
      <x:c r="D501" s="293" t="n">
        <x:v>46240</x:v>
      </x:c>
      <x:c r="E501" s="294" t="n">
        <x:f>IF('초등학교+병설유치원(8월)'!AI41="",0,'초등학교+병설유치원(8월)'!AI41)</x:f>
        <x:v>23</x:v>
      </x:c>
      <x:c r="F501" s="294" t="n">
        <x:f>IF('초등학교+병설유치원(8월)'!AJ41="",0,'초등학교+병설유치원(8월)'!AJ41)</x:f>
        <x:v>22</x:v>
      </x:c>
      <x:c r="G501" s="294" t="n">
        <x:f>IF('초등학교+병설유치원(8월)'!AK41="",0,'초등학교+병설유치원(8월)'!AK41)</x:f>
        <x:v>19</x:v>
      </x:c>
      <x:c r="H501" s="294" t="n">
        <x:f>IF('초등학교+병설유치원(8월)'!AL41="",0,'초등학교+병설유치원(8월)'!AL41)</x:f>
        <x:v>0</x:v>
      </x:c>
      <x:c r="I501" s="294" t="n">
        <x:f>IF('초등학교+병설유치원(8월)'!AM41="",0,'초등학교+병설유치원(8월)'!AM41)</x:f>
        <x:v>21</x:v>
      </x:c>
      <x:c r="J501" s="296" t="n">
        <x:f>SUM(E501:I501)</x:f>
        <x:v>85</x:v>
      </x:c>
      <x:c r="K501" s="291" t="str">
        <x:v>8월</x:v>
      </x:c>
    </x:row>
    <x:row r="502">
      <x:c r="A502" s="291" t="n">
        <x:f>IF('초등학교+병설유치원(8월)'!A41="","",'초등학교+병설유치원(8월)'!A41)</x:f>
        <x:v>25</x:v>
      </x:c>
      <x:c r="B502" s="291" t="str">
        <x:v>초등학교</x:v>
      </x:c>
      <x:c r="C502" s="291" t="str">
        <x:f>IF('초등학교+병설유치원(8월)'!B41="","",'초등학교+병설유치원(8월)'!B41)</x:f>
        <x:v>이리초</x:v>
      </x:c>
      <x:c r="D502" s="293" t="n">
        <x:v>46241</x:v>
      </x:c>
      <x:c r="E502" s="294" t="n">
        <x:f>IF('초등학교+병설유치원(8월)'!AO41="",0,'초등학교+병설유치원(8월)'!AO41)</x:f>
        <x:v>23</x:v>
      </x:c>
      <x:c r="F502" s="294" t="n">
        <x:f>IF('초등학교+병설유치원(8월)'!AP41="",0,'초등학교+병설유치원(8월)'!AP41)</x:f>
        <x:v>22</x:v>
      </x:c>
      <x:c r="G502" s="294" t="n">
        <x:f>IF('초등학교+병설유치원(8월)'!AQ41="",0,'초등학교+병설유치원(8월)'!AQ41)</x:f>
        <x:v>19</x:v>
      </x:c>
      <x:c r="H502" s="294" t="n">
        <x:f>IF('초등학교+병설유치원(8월)'!AR41="",0,'초등학교+병설유치원(8월)'!AR41)</x:f>
        <x:v>0</x:v>
      </x:c>
      <x:c r="I502" s="294" t="n">
        <x:f>IF('초등학교+병설유치원(8월)'!AS41="",0,'초등학교+병설유치원(8월)'!AS41)</x:f>
        <x:v>21</x:v>
      </x:c>
      <x:c r="J502" s="296" t="n">
        <x:f>SUM(E502:I502)</x:f>
        <x:v>85</x:v>
      </x:c>
      <x:c r="K502" s="291" t="str">
        <x:v>8월</x:v>
      </x:c>
    </x:row>
    <x:row r="503">
      <x:c r="A503" s="291" t="n">
        <x:f>IF('초등학교+병설유치원(8월)'!A41="","",'초등학교+병설유치원(8월)'!A41)</x:f>
        <x:v>25</x:v>
      </x:c>
      <x:c r="B503" s="291" t="str">
        <x:v>초등학교</x:v>
      </x:c>
      <x:c r="C503" s="291" t="str">
        <x:f>IF('초등학교+병설유치원(8월)'!B41="","",'초등학교+병설유치원(8월)'!B41)</x:f>
        <x:v>이리초</x:v>
      </x:c>
      <x:c r="D503" s="293" t="n">
        <x:v>46244</x:v>
      </x:c>
      <x:c r="E503" s="294" t="n">
        <x:f>IF('초등학교+병설유치원(8월)'!AU41="",0,'초등학교+병설유치원(8월)'!AU41)</x:f>
        <x:v>23</x:v>
      </x:c>
      <x:c r="F503" s="294" t="n">
        <x:f>IF('초등학교+병설유치원(8월)'!AV41="",0,'초등학교+병설유치원(8월)'!AV41)</x:f>
        <x:v>22</x:v>
      </x:c>
      <x:c r="G503" s="294" t="n">
        <x:f>IF('초등학교+병설유치원(8월)'!AW41="",0,'초등학교+병설유치원(8월)'!AW41)</x:f>
        <x:v>19</x:v>
      </x:c>
      <x:c r="H503" s="294" t="n">
        <x:f>IF('초등학교+병설유치원(8월)'!AX41="",0,'초등학교+병설유치원(8월)'!AX41)</x:f>
        <x:v>0</x:v>
      </x:c>
      <x:c r="I503" s="294" t="n">
        <x:f>IF('초등학교+병설유치원(8월)'!AY41="",0,'초등학교+병설유치원(8월)'!AY41)</x:f>
        <x:v>21</x:v>
      </x:c>
      <x:c r="J503" s="296" t="n">
        <x:f>SUM(E503:I503)</x:f>
        <x:v>85</x:v>
      </x:c>
      <x:c r="K503" s="291" t="str">
        <x:v>8월</x:v>
      </x:c>
    </x:row>
    <x:row r="504">
      <x:c r="A504" s="291" t="n">
        <x:f>IF('초등학교+병설유치원(8월)'!A41="","",'초등학교+병설유치원(8월)'!A41)</x:f>
        <x:v>25</x:v>
      </x:c>
      <x:c r="B504" s="291" t="str">
        <x:v>초등학교</x:v>
      </x:c>
      <x:c r="C504" s="291" t="str">
        <x:f>IF('초등학교+병설유치원(8월)'!B41="","",'초등학교+병설유치원(8월)'!B41)</x:f>
        <x:v>이리초</x:v>
      </x:c>
      <x:c r="D504" s="293" t="n">
        <x:v>46245</x:v>
      </x:c>
      <x:c r="E504" s="294" t="n">
        <x:f>IF('초등학교+병설유치원(8월)'!BA41="",0,'초등학교+병설유치원(8월)'!BA41)</x:f>
        <x:v>23</x:v>
      </x:c>
      <x:c r="F504" s="294" t="n">
        <x:f>IF('초등학교+병설유치원(8월)'!BB41="",0,'초등학교+병설유치원(8월)'!BB41)</x:f>
        <x:v>22</x:v>
      </x:c>
      <x:c r="G504" s="294" t="n">
        <x:f>IF('초등학교+병설유치원(8월)'!BC41="",0,'초등학교+병설유치원(8월)'!BC41)</x:f>
        <x:v>19</x:v>
      </x:c>
      <x:c r="H504" s="294" t="n">
        <x:f>IF('초등학교+병설유치원(8월)'!BD41="",0,'초등학교+병설유치원(8월)'!BD41)</x:f>
        <x:v>0</x:v>
      </x:c>
      <x:c r="I504" s="294" t="n">
        <x:f>IF('초등학교+병설유치원(8월)'!BE41="",0,'초등학교+병설유치원(8월)'!BE41)</x:f>
        <x:v>21</x:v>
      </x:c>
      <x:c r="J504" s="296" t="n">
        <x:f>SUM(E504:I504)</x:f>
        <x:v>85</x:v>
      </x:c>
      <x:c r="K504" s="291" t="str">
        <x:v>8월</x:v>
      </x:c>
    </x:row>
    <x:row r="505">
      <x:c r="A505" s="291" t="n">
        <x:f>IF('초등학교+병설유치원(8월)'!A41="","",'초등학교+병설유치원(8월)'!A41)</x:f>
        <x:v>25</x:v>
      </x:c>
      <x:c r="B505" s="291" t="str">
        <x:v>초등학교</x:v>
      </x:c>
      <x:c r="C505" s="291" t="str">
        <x:f>IF('초등학교+병설유치원(8월)'!B41="","",'초등학교+병설유치원(8월)'!B41)</x:f>
        <x:v>이리초</x:v>
      </x:c>
      <x:c r="D505" s="293" t="n">
        <x:v>46246</x:v>
      </x:c>
      <x:c r="E505" s="294" t="n">
        <x:f>IF('초등학교+병설유치원(8월)'!BG41="",0,'초등학교+병설유치원(8월)'!BG41)</x:f>
        <x:v>23</x:v>
      </x:c>
      <x:c r="F505" s="294" t="n">
        <x:f>IF('초등학교+병설유치원(8월)'!BH41="",0,'초등학교+병설유치원(8월)'!BH41)</x:f>
        <x:v>22</x:v>
      </x:c>
      <x:c r="G505" s="294" t="n">
        <x:f>IF('초등학교+병설유치원(8월)'!BI41="",0,'초등학교+병설유치원(8월)'!BI41)</x:f>
        <x:v>19</x:v>
      </x:c>
      <x:c r="H505" s="294" t="n">
        <x:f>IF('초등학교+병설유치원(8월)'!BJ41="",0,'초등학교+병설유치원(8월)'!BJ41)</x:f>
        <x:v>0</x:v>
      </x:c>
      <x:c r="I505" s="294" t="n">
        <x:f>IF('초등학교+병설유치원(8월)'!BK41="",0,'초등학교+병설유치원(8월)'!BK41)</x:f>
        <x:v>21</x:v>
      </x:c>
      <x:c r="J505" s="296" t="n">
        <x:f>SUM(E505:I505)</x:f>
        <x:v>85</x:v>
      </x:c>
      <x:c r="K505" s="291" t="str">
        <x:v>8월</x:v>
      </x:c>
    </x:row>
    <x:row r="506">
      <x:c r="A506" s="291" t="n">
        <x:f>IF('초등학교+병설유치원(8월)'!A41="","",'초등학교+병설유치원(8월)'!A41)</x:f>
        <x:v>25</x:v>
      </x:c>
      <x:c r="B506" s="291" t="str">
        <x:v>초등학교</x:v>
      </x:c>
      <x:c r="C506" s="291" t="str">
        <x:f>IF('초등학교+병설유치원(8월)'!B41="","",'초등학교+병설유치원(8월)'!B41)</x:f>
        <x:v>이리초</x:v>
      </x:c>
      <x:c r="D506" s="293" t="n">
        <x:v>46247</x:v>
      </x:c>
      <x:c r="E506" s="294" t="n">
        <x:f>IF('초등학교+병설유치원(8월)'!BM41="",0,'초등학교+병설유치원(8월)'!BM41)</x:f>
        <x:v>23</x:v>
      </x:c>
      <x:c r="F506" s="294" t="n">
        <x:f>IF('초등학교+병설유치원(8월)'!BN41="",0,'초등학교+병설유치원(8월)'!BN41)</x:f>
        <x:v>22</x:v>
      </x:c>
      <x:c r="G506" s="294" t="n">
        <x:f>IF('초등학교+병설유치원(8월)'!BO41="",0,'초등학교+병설유치원(8월)'!BO41)</x:f>
        <x:v>19</x:v>
      </x:c>
      <x:c r="H506" s="294" t="n">
        <x:f>IF('초등학교+병설유치원(8월)'!BP41="",0,'초등학교+병설유치원(8월)'!BP41)</x:f>
        <x:v>0</x:v>
      </x:c>
      <x:c r="I506" s="294" t="n">
        <x:f>IF('초등학교+병설유치원(8월)'!BQ41="",0,'초등학교+병설유치원(8월)'!BQ41)</x:f>
        <x:v>21</x:v>
      </x:c>
      <x:c r="J506" s="296" t="n">
        <x:f>SUM(E506:I506)</x:f>
        <x:v>85</x:v>
      </x:c>
      <x:c r="K506" s="291" t="str">
        <x:v>8월</x:v>
      </x:c>
    </x:row>
    <x:row r="507">
      <x:c r="A507" s="291" t="n">
        <x:f>IF('초등학교+병설유치원(8월)'!A41="","",'초등학교+병설유치원(8월)'!A41)</x:f>
        <x:v>25</x:v>
      </x:c>
      <x:c r="B507" s="291" t="str">
        <x:v>초등학교</x:v>
      </x:c>
      <x:c r="C507" s="291" t="str">
        <x:f>IF('초등학교+병설유치원(8월)'!B41="","",'초등학교+병설유치원(8월)'!B41)</x:f>
        <x:v>이리초</x:v>
      </x:c>
      <x:c r="D507" s="293" t="n">
        <x:v>46248</x:v>
      </x:c>
      <x:c r="E507" s="294" t="n">
        <x:f>IF('초등학교+병설유치원(8월)'!BS41="",0,'초등학교+병설유치원(8월)'!BS41)</x:f>
        <x:v>23</x:v>
      </x:c>
      <x:c r="F507" s="294" t="n">
        <x:f>IF('초등학교+병설유치원(8월)'!BT41="",0,'초등학교+병설유치원(8월)'!BT41)</x:f>
        <x:v>22</x:v>
      </x:c>
      <x:c r="G507" s="294" t="n">
        <x:f>IF('초등학교+병설유치원(8월)'!BU41="",0,'초등학교+병설유치원(8월)'!BU41)</x:f>
        <x:v>19</x:v>
      </x:c>
      <x:c r="H507" s="294" t="n">
        <x:f>IF('초등학교+병설유치원(8월)'!BV41="",0,'초등학교+병설유치원(8월)'!BV41)</x:f>
        <x:v>0</x:v>
      </x:c>
      <x:c r="I507" s="294" t="n">
        <x:f>IF('초등학교+병설유치원(8월)'!BW41="",0,'초등학교+병설유치원(8월)'!BW41)</x:f>
        <x:v>21</x:v>
      </x:c>
      <x:c r="J507" s="296" t="n">
        <x:f>SUM(E507:I507)</x:f>
        <x:v>85</x:v>
      </x:c>
      <x:c r="K507" s="291" t="str">
        <x:v>8월</x:v>
      </x:c>
    </x:row>
    <x:row r="508">
      <x:c r="A508" s="291" t="n">
        <x:f>IF('초등학교+병설유치원(8월)'!A41="","",'초등학교+병설유치원(8월)'!A41)</x:f>
        <x:v>25</x:v>
      </x:c>
      <x:c r="B508" s="291" t="str">
        <x:v>초등학교</x:v>
      </x:c>
      <x:c r="C508" s="291" t="str">
        <x:f>IF('초등학교+병설유치원(8월)'!B41="","",'초등학교+병설유치원(8월)'!B41)</x:f>
        <x:v>이리초</x:v>
      </x:c>
      <x:c r="D508" s="293" t="n">
        <x:v>46252</x:v>
      </x:c>
      <x:c r="E508" s="294" t="n">
        <x:f>IF('초등학교+병설유치원(8월)'!BY41="",0,'초등학교+병설유치원(8월)'!BY41)</x:f>
        <x:v>23</x:v>
      </x:c>
      <x:c r="F508" s="294" t="n">
        <x:f>IF('초등학교+병설유치원(8월)'!BZ41="",0,'초등학교+병설유치원(8월)'!BZ41)</x:f>
        <x:v>22</x:v>
      </x:c>
      <x:c r="G508" s="294" t="n">
        <x:f>IF('초등학교+병설유치원(8월)'!CA41="",0,'초등학교+병설유치원(8월)'!CA41)</x:f>
        <x:v>19</x:v>
      </x:c>
      <x:c r="H508" s="294" t="n">
        <x:f>IF('초등학교+병설유치원(8월)'!CB41="",0,'초등학교+병설유치원(8월)'!CB41)</x:f>
        <x:v>0</x:v>
      </x:c>
      <x:c r="I508" s="294" t="n">
        <x:f>IF('초등학교+병설유치원(8월)'!CC41="",0,'초등학교+병설유치원(8월)'!CC41)</x:f>
        <x:v>21</x:v>
      </x:c>
      <x:c r="J508" s="296" t="n">
        <x:f>SUM(E508:I508)</x:f>
        <x:v>85</x:v>
      </x:c>
      <x:c r="K508" s="291" t="str">
        <x:v>8월</x:v>
      </x:c>
    </x:row>
    <x:row r="509">
      <x:c r="A509" s="291" t="n">
        <x:f>IF('초등학교+병설유치원(8월)'!A41="","",'초등학교+병설유치원(8월)'!A41)</x:f>
        <x:v>25</x:v>
      </x:c>
      <x:c r="B509" s="291" t="str">
        <x:v>초등학교</x:v>
      </x:c>
      <x:c r="C509" s="291" t="str">
        <x:f>IF('초등학교+병설유치원(8월)'!B41="","",'초등학교+병설유치원(8월)'!B41)</x:f>
        <x:v>이리초</x:v>
      </x:c>
      <x:c r="D509" s="293" t="n">
        <x:v>46253</x:v>
      </x:c>
      <x:c r="E509" s="294" t="n">
        <x:f>IF('초등학교+병설유치원(8월)'!CE41="",0,'초등학교+병설유치원(8월)'!CE41)</x:f>
        <x:v>23</x:v>
      </x:c>
      <x:c r="F509" s="294" t="n">
        <x:f>IF('초등학교+병설유치원(8월)'!CF41="",0,'초등학교+병설유치원(8월)'!CF41)</x:f>
        <x:v>22</x:v>
      </x:c>
      <x:c r="G509" s="294" t="n">
        <x:f>IF('초등학교+병설유치원(8월)'!CG41="",0,'초등학교+병설유치원(8월)'!CG41)</x:f>
        <x:v>19</x:v>
      </x:c>
      <x:c r="H509" s="294" t="n">
        <x:f>IF('초등학교+병설유치원(8월)'!CH41="",0,'초등학교+병설유치원(8월)'!CH41)</x:f>
        <x:v>0</x:v>
      </x:c>
      <x:c r="I509" s="294" t="n">
        <x:f>IF('초등학교+병설유치원(8월)'!CI41="",0,'초등학교+병설유치원(8월)'!CI41)</x:f>
        <x:v>21</x:v>
      </x:c>
      <x:c r="J509" s="296" t="n">
        <x:f>SUM(E509:I509)</x:f>
        <x:v>85</x:v>
      </x:c>
      <x:c r="K509" s="291" t="str">
        <x:v>8월</x:v>
      </x:c>
    </x:row>
    <x:row r="510">
      <x:c r="A510" s="291" t="n">
        <x:f>IF('초등학교+병설유치원(8월)'!A41="","",'초등학교+병설유치원(8월)'!A41)</x:f>
        <x:v>25</x:v>
      </x:c>
      <x:c r="B510" s="291" t="str">
        <x:v>초등학교</x:v>
      </x:c>
      <x:c r="C510" s="291" t="str">
        <x:f>IF('초등학교+병설유치원(8월)'!B41="","",'초등학교+병설유치원(8월)'!B41)</x:f>
        <x:v>이리초</x:v>
      </x:c>
      <x:c r="D510" s="293" t="n">
        <x:v>46254</x:v>
      </x:c>
      <x:c r="E510" s="294" t="n">
        <x:f>IF('초등학교+병설유치원(8월)'!CK41="",0,'초등학교+병설유치원(8월)'!CK41)</x:f>
        <x:v>23</x:v>
      </x:c>
      <x:c r="F510" s="294" t="n">
        <x:f>IF('초등학교+병설유치원(8월)'!CL41="",0,'초등학교+병설유치원(8월)'!CL41)</x:f>
        <x:v>22</x:v>
      </x:c>
      <x:c r="G510" s="294" t="n">
        <x:f>IF('초등학교+병설유치원(8월)'!CM41="",0,'초등학교+병설유치원(8월)'!CM41)</x:f>
        <x:v>19</x:v>
      </x:c>
      <x:c r="H510" s="294" t="n">
        <x:f>IF('초등학교+병설유치원(8월)'!CN41="",0,'초등학교+병설유치원(8월)'!CN41)</x:f>
        <x:v>0</x:v>
      </x:c>
      <x:c r="I510" s="294" t="n">
        <x:f>IF('초등학교+병설유치원(8월)'!CO41="",0,'초등학교+병설유치원(8월)'!CO41)</x:f>
        <x:v>21</x:v>
      </x:c>
      <x:c r="J510" s="296" t="n">
        <x:f>SUM(E510:I510)</x:f>
        <x:v>85</x:v>
      </x:c>
      <x:c r="K510" s="291" t="str">
        <x:v>8월</x:v>
      </x:c>
    </x:row>
    <x:row r="511">
      <x:c r="A511" s="291" t="n">
        <x:f>IF('초등학교+병설유치원(8월)'!A41="","",'초등학교+병설유치원(8월)'!A41)</x:f>
        <x:v>25</x:v>
      </x:c>
      <x:c r="B511" s="291" t="str">
        <x:v>초등학교</x:v>
      </x:c>
      <x:c r="C511" s="291" t="str">
        <x:f>IF('초등학교+병설유치원(8월)'!B41="","",'초등학교+병설유치원(8월)'!B41)</x:f>
        <x:v>이리초</x:v>
      </x:c>
      <x:c r="D511" s="293" t="n">
        <x:v>46255</x:v>
      </x:c>
      <x:c r="E511" s="294" t="n">
        <x:f>IF('초등학교+병설유치원(8월)'!CQ41="",0,'초등학교+병설유치원(8월)'!CQ41)</x:f>
        <x:v>23</x:v>
      </x:c>
      <x:c r="F511" s="294" t="n">
        <x:f>IF('초등학교+병설유치원(8월)'!CR41="",0,'초등학교+병설유치원(8월)'!CR41)</x:f>
        <x:v>22</x:v>
      </x:c>
      <x:c r="G511" s="294" t="n">
        <x:f>IF('초등학교+병설유치원(8월)'!CS41="",0,'초등학교+병설유치원(8월)'!CS41)</x:f>
        <x:v>19</x:v>
      </x:c>
      <x:c r="H511" s="294" t="n">
        <x:f>IF('초등학교+병설유치원(8월)'!CT41="",0,'초등학교+병설유치원(8월)'!CT41)</x:f>
        <x:v>0</x:v>
      </x:c>
      <x:c r="I511" s="294" t="n">
        <x:f>IF('초등학교+병설유치원(8월)'!CU41="",0,'초등학교+병설유치원(8월)'!CU41)</x:f>
        <x:v>21</x:v>
      </x:c>
      <x:c r="J511" s="296" t="n">
        <x:f>SUM(E511:I511)</x:f>
        <x:v>85</x:v>
      </x:c>
      <x:c r="K511" s="291" t="str">
        <x:v>8월</x:v>
      </x:c>
    </x:row>
    <x:row r="512">
      <x:c r="A512" s="291" t="n">
        <x:f>IF('초등학교+병설유치원(8월)'!A41="","",'초등학교+병설유치원(8월)'!A41)</x:f>
        <x:v>25</x:v>
      </x:c>
      <x:c r="B512" s="291" t="str">
        <x:v>초등학교</x:v>
      </x:c>
      <x:c r="C512" s="291" t="str">
        <x:f>IF('초등학교+병설유치원(8월)'!B41="","",'초등학교+병설유치원(8월)'!B41)</x:f>
        <x:v>이리초</x:v>
      </x:c>
      <x:c r="D512" s="293" t="n">
        <x:v>46258</x:v>
      </x:c>
      <x:c r="E512" s="294" t="n">
        <x:f>IF('초등학교+병설유치원(8월)'!CW41="",0,'초등학교+병설유치원(8월)'!CW41)</x:f>
        <x:v>23</x:v>
      </x:c>
      <x:c r="F512" s="294" t="n">
        <x:f>IF('초등학교+병설유치원(8월)'!CX41="",0,'초등학교+병설유치원(8월)'!CX41)</x:f>
        <x:v>22</x:v>
      </x:c>
      <x:c r="G512" s="294" t="n">
        <x:f>IF('초등학교+병설유치원(8월)'!CY41="",0,'초등학교+병설유치원(8월)'!CY41)</x:f>
        <x:v>19</x:v>
      </x:c>
      <x:c r="H512" s="294" t="n">
        <x:f>IF('초등학교+병설유치원(8월)'!CZ41="",0,'초등학교+병설유치원(8월)'!CZ41)</x:f>
        <x:v>0</x:v>
      </x:c>
      <x:c r="I512" s="294" t="n">
        <x:f>IF('초등학교+병설유치원(8월)'!DA41="",0,'초등학교+병설유치원(8월)'!DA41)</x:f>
        <x:v>21</x:v>
      </x:c>
      <x:c r="J512" s="296" t="n">
        <x:f>SUM(E512:I512)</x:f>
        <x:v>85</x:v>
      </x:c>
      <x:c r="K512" s="291" t="str">
        <x:v>8월</x:v>
      </x:c>
    </x:row>
    <x:row r="513">
      <x:c r="A513" s="291" t="n">
        <x:f>IF('초등학교+병설유치원(8월)'!A41="","",'초등학교+병설유치원(8월)'!A41)</x:f>
        <x:v>25</x:v>
      </x:c>
      <x:c r="B513" s="291" t="str">
        <x:v>초등학교</x:v>
      </x:c>
      <x:c r="C513" s="291" t="str">
        <x:f>IF('초등학교+병설유치원(8월)'!B41="","",'초등학교+병설유치원(8월)'!B41)</x:f>
        <x:v>이리초</x:v>
      </x:c>
      <x:c r="D513" s="293" t="n">
        <x:v>46259</x:v>
      </x:c>
      <x:c r="E513" s="294" t="n">
        <x:f>IF('초등학교+병설유치원(8월)'!DC41="",0,'초등학교+병설유치원(8월)'!DC41)</x:f>
        <x:v>23</x:v>
      </x:c>
      <x:c r="F513" s="294" t="n">
        <x:f>IF('초등학교+병설유치원(8월)'!DD41="",0,'초등학교+병설유치원(8월)'!DD41)</x:f>
        <x:v>22</x:v>
      </x:c>
      <x:c r="G513" s="294" t="n">
        <x:f>IF('초등학교+병설유치원(8월)'!DE41="",0,'초등학교+병설유치원(8월)'!DE41)</x:f>
        <x:v>19</x:v>
      </x:c>
      <x:c r="H513" s="294" t="n">
        <x:f>IF('초등학교+병설유치원(8월)'!DF41="",0,'초등학교+병설유치원(8월)'!DF41)</x:f>
        <x:v>0</x:v>
      </x:c>
      <x:c r="I513" s="294" t="n">
        <x:f>IF('초등학교+병설유치원(8월)'!DG41="",0,'초등학교+병설유치원(8월)'!DG41)</x:f>
        <x:v>21</x:v>
      </x:c>
      <x:c r="J513" s="296" t="n">
        <x:f>SUM(E513:I513)</x:f>
        <x:v>85</x:v>
      </x:c>
      <x:c r="K513" s="291" t="str">
        <x:v>8월</x:v>
      </x:c>
    </x:row>
    <x:row r="514">
      <x:c r="A514" s="291" t="n">
        <x:f>IF('초등학교+병설유치원(8월)'!A41="","",'초등학교+병설유치원(8월)'!A41)</x:f>
        <x:v>25</x:v>
      </x:c>
      <x:c r="B514" s="291" t="str">
        <x:v>초등학교</x:v>
      </x:c>
      <x:c r="C514" s="291" t="str">
        <x:f>IF('초등학교+병설유치원(8월)'!B41="","",'초등학교+병설유치원(8월)'!B41)</x:f>
        <x:v>이리초</x:v>
      </x:c>
      <x:c r="D514" s="293" t="n">
        <x:v>46260</x:v>
      </x:c>
      <x:c r="E514" s="294" t="n">
        <x:f>IF('초등학교+병설유치원(8월)'!DI41="",0,'초등학교+병설유치원(8월)'!DI41)</x:f>
        <x:v>23</x:v>
      </x:c>
      <x:c r="F514" s="294" t="n">
        <x:f>IF('초등학교+병설유치원(8월)'!DJ41="",0,'초등학교+병설유치원(8월)'!DJ41)</x:f>
        <x:v>22</x:v>
      </x:c>
      <x:c r="G514" s="294" t="n">
        <x:f>IF('초등학교+병설유치원(8월)'!DK41="",0,'초등학교+병설유치원(8월)'!DK41)</x:f>
        <x:v>19</x:v>
      </x:c>
      <x:c r="H514" s="294" t="n">
        <x:f>IF('초등학교+병설유치원(8월)'!DL41="",0,'초등학교+병설유치원(8월)'!DL41)</x:f>
        <x:v>0</x:v>
      </x:c>
      <x:c r="I514" s="294" t="n">
        <x:f>IF('초등학교+병설유치원(8월)'!DM41="",0,'초등학교+병설유치원(8월)'!DM41)</x:f>
        <x:v>21</x:v>
      </x:c>
      <x:c r="J514" s="296" t="n">
        <x:f>SUM(E514:I514)</x:f>
        <x:v>85</x:v>
      </x:c>
      <x:c r="K514" s="291" t="str">
        <x:v>8월</x:v>
      </x:c>
    </x:row>
    <x:row r="515">
      <x:c r="A515" s="291" t="n">
        <x:f>IF('초등학교+병설유치원(8월)'!A41="","",'초등학교+병설유치원(8월)'!A41)</x:f>
        <x:v>25</x:v>
      </x:c>
      <x:c r="B515" s="291" t="str">
        <x:v>초등학교</x:v>
      </x:c>
      <x:c r="C515" s="291" t="str">
        <x:f>IF('초등학교+병설유치원(8월)'!B41="","",'초등학교+병설유치원(8월)'!B41)</x:f>
        <x:v>이리초</x:v>
      </x:c>
      <x:c r="D515" s="293" t="n">
        <x:v>46261</x:v>
      </x:c>
      <x:c r="E515" s="294" t="n">
        <x:f>IF('초등학교+병설유치원(8월)'!DO41="",0,'초등학교+병설유치원(8월)'!DO41)</x:f>
        <x:v>23</x:v>
      </x:c>
      <x:c r="F515" s="294" t="n">
        <x:f>IF('초등학교+병설유치원(8월)'!DP41="",0,'초등학교+병설유치원(8월)'!DP41)</x:f>
        <x:v>22</x:v>
      </x:c>
      <x:c r="G515" s="294" t="n">
        <x:f>IF('초등학교+병설유치원(8월)'!DQ41="",0,'초등학교+병설유치원(8월)'!DQ41)</x:f>
        <x:v>19</x:v>
      </x:c>
      <x:c r="H515" s="294" t="n">
        <x:f>IF('초등학교+병설유치원(8월)'!DR41="",0,'초등학교+병설유치원(8월)'!DR41)</x:f>
        <x:v>0</x:v>
      </x:c>
      <x:c r="I515" s="294" t="n">
        <x:f>IF('초등학교+병설유치원(8월)'!DS41="",0,'초등학교+병설유치원(8월)'!DS41)</x:f>
        <x:v>21</x:v>
      </x:c>
      <x:c r="J515" s="296" t="n">
        <x:f>SUM(E515:I515)</x:f>
        <x:v>85</x:v>
      </x:c>
      <x:c r="K515" s="291" t="str">
        <x:v>8월</x:v>
      </x:c>
    </x:row>
    <x:row r="516">
      <x:c r="A516" s="291" t="n">
        <x:f>IF('초등학교+병설유치원(8월)'!A41="","",'초등학교+병설유치원(8월)'!A41)</x:f>
        <x:v>25</x:v>
      </x:c>
      <x:c r="B516" s="291" t="str">
        <x:v>초등학교</x:v>
      </x:c>
      <x:c r="C516" s="291" t="str">
        <x:f>IF('초등학교+병설유치원(8월)'!B41="","",'초등학교+병설유치원(8월)'!B41)</x:f>
        <x:v>이리초</x:v>
      </x:c>
      <x:c r="D516" s="293" t="n">
        <x:v>46262</x:v>
      </x:c>
      <x:c r="E516" s="294" t="n">
        <x:f>IF('초등학교+병설유치원(8월)'!DU41="",0,'초등학교+병설유치원(8월)'!DU41)</x:f>
        <x:v>23</x:v>
      </x:c>
      <x:c r="F516" s="294" t="n">
        <x:f>IF('초등학교+병설유치원(8월)'!DV41="",0,'초등학교+병설유치원(8월)'!DV41)</x:f>
        <x:v>22</x:v>
      </x:c>
      <x:c r="G516" s="294" t="n">
        <x:f>IF('초등학교+병설유치원(8월)'!DW41="",0,'초등학교+병설유치원(8월)'!DW41)</x:f>
        <x:v>19</x:v>
      </x:c>
      <x:c r="H516" s="294" t="n">
        <x:f>IF('초등학교+병설유치원(8월)'!DX41="",0,'초등학교+병설유치원(8월)'!DX41)</x:f>
        <x:v>0</x:v>
      </x:c>
      <x:c r="I516" s="294" t="n">
        <x:f>IF('초등학교+병설유치원(8월)'!DY41="",0,'초등학교+병설유치원(8월)'!DY41)</x:f>
        <x:v>21</x:v>
      </x:c>
      <x:c r="J516" s="296" t="n">
        <x:f>SUM(E516:I516)</x:f>
        <x:v>85</x:v>
      </x:c>
      <x:c r="K516" s="291" t="str">
        <x:v>8월</x:v>
      </x:c>
    </x:row>
    <x:row r="517">
      <x:c r="A517" s="291" t="n">
        <x:f>IF('초등학교+병설유치원(8월)'!A41="","",'초등학교+병설유치원(8월)'!A41)</x:f>
        <x:v>25</x:v>
      </x:c>
      <x:c r="B517" s="291" t="str">
        <x:v>초등학교</x:v>
      </x:c>
      <x:c r="C517" s="291" t="str">
        <x:f>IF('초등학교+병설유치원(8월)'!B41="","",'초등학교+병설유치원(8월)'!B41)</x:f>
        <x:v>이리초</x:v>
      </x:c>
      <x:c r="D517" s="293" t="n">
        <x:v>46265</x:v>
      </x:c>
      <x:c r="E517" s="294" t="n">
        <x:f>IF('초등학교+병설유치원(8월)'!EA41="",0,'초등학교+병설유치원(8월)'!EA41)</x:f>
        <x:v>23</x:v>
      </x:c>
      <x:c r="F517" s="294" t="n">
        <x:f>IF('초등학교+병설유치원(8월)'!EB41="",0,'초등학교+병설유치원(8월)'!EB41)</x:f>
        <x:v>22</x:v>
      </x:c>
      <x:c r="G517" s="294" t="n">
        <x:f>IF('초등학교+병설유치원(8월)'!EC41="",0,'초등학교+병설유치원(8월)'!EC41)</x:f>
        <x:v>19</x:v>
      </x:c>
      <x:c r="H517" s="294" t="n">
        <x:f>IF('초등학교+병설유치원(8월)'!ED41="",0,'초등학교+병설유치원(8월)'!ED41)</x:f>
        <x:v>0</x:v>
      </x:c>
      <x:c r="I517" s="294" t="n">
        <x:f>IF('초등학교+병설유치원(8월)'!EE41="",0,'초등학교+병설유치원(8월)'!EE41)</x:f>
        <x:v>21</x:v>
      </x:c>
      <x:c r="J517" s="296" t="n">
        <x:f>SUM(E517:I517)</x:f>
        <x:v>85</x:v>
      </x:c>
      <x:c r="K517" s="291" t="str">
        <x:v>8월</x:v>
      </x:c>
    </x:row>
    <x:row r="518">
      <x:c r="A518" s="291" t="n">
        <x:f>IF('초등학교+병설유치원(8월)'!A42="","",'초등학교+병설유치원(8월)'!A42)</x:f>
        <x:v>26</x:v>
      </x:c>
      <x:c r="B518" s="291" t="str">
        <x:v>초등학교</x:v>
      </x:c>
      <x:c r="C518" s="291" t="str">
        <x:f>IF('초등학교+병설유치원(8월)'!B42="","",'초등학교+병설유치원(8월)'!B42)</x:f>
        <x:v>이리팔봉초</x:v>
      </x:c>
      <x:c r="D518" s="293" t="n">
        <x:v>46237</x:v>
      </x:c>
      <x:c r="E518" s="294" t="n">
        <x:f>IF('초등학교+병설유치원(8월)'!Q42="",0,'초등학교+병설유치원(8월)'!Q42)</x:f>
        <x:v>15</x:v>
      </x:c>
      <x:c r="F518" s="294" t="n">
        <x:f>IF('초등학교+병설유치원(8월)'!R42="",0,'초등학교+병설유치원(8월)'!R42)</x:f>
        <x:v>17</x:v>
      </x:c>
      <x:c r="G518" s="294" t="n">
        <x:f>IF('초등학교+병설유치원(8월)'!S42="",0,'초등학교+병설유치원(8월)'!S42)</x:f>
        <x:v>0</x:v>
      </x:c>
      <x:c r="H518" s="294" t="n">
        <x:f>IF('초등학교+병설유치원(8월)'!T42="",0,'초등학교+병설유치원(8월)'!T42)</x:f>
        <x:v>0</x:v>
      </x:c>
      <x:c r="I518" s="294" t="n">
        <x:f>IF('초등학교+병설유치원(8월)'!U42="",0,'초등학교+병설유치원(8월)'!U42)</x:f>
        <x:v>0</x:v>
      </x:c>
      <x:c r="J518" s="296" t="n">
        <x:f>SUM(E518:I518)</x:f>
        <x:v>32</x:v>
      </x:c>
      <x:c r="K518" s="291" t="str">
        <x:v>8월</x:v>
      </x:c>
    </x:row>
    <x:row r="519">
      <x:c r="A519" s="291" t="n">
        <x:f>IF('초등학교+병설유치원(8월)'!A42="","",'초등학교+병설유치원(8월)'!A42)</x:f>
        <x:v>26</x:v>
      </x:c>
      <x:c r="B519" s="291" t="str">
        <x:v>초등학교</x:v>
      </x:c>
      <x:c r="C519" s="291" t="str">
        <x:f>IF('초등학교+병설유치원(8월)'!B42="","",'초등학교+병설유치원(8월)'!B42)</x:f>
        <x:v>이리팔봉초</x:v>
      </x:c>
      <x:c r="D519" s="293" t="n">
        <x:v>46238</x:v>
      </x:c>
      <x:c r="E519" s="294" t="n">
        <x:f>IF('초등학교+병설유치원(8월)'!W42="",0,'초등학교+병설유치원(8월)'!W42)</x:f>
        <x:v>15</x:v>
      </x:c>
      <x:c r="F519" s="294" t="n">
        <x:f>IF('초등학교+병설유치원(8월)'!X42="",0,'초등학교+병설유치원(8월)'!X42)</x:f>
        <x:v>17</x:v>
      </x:c>
      <x:c r="G519" s="294" t="n">
        <x:f>IF('초등학교+병설유치원(8월)'!Y42="",0,'초등학교+병설유치원(8월)'!Y42)</x:f>
        <x:v>0</x:v>
      </x:c>
      <x:c r="H519" s="294" t="n">
        <x:f>IF('초등학교+병설유치원(8월)'!Z42="",0,'초등학교+병설유치원(8월)'!Z42)</x:f>
        <x:v>0</x:v>
      </x:c>
      <x:c r="I519" s="294" t="n">
        <x:f>IF('초등학교+병설유치원(8월)'!AA42="",0,'초등학교+병설유치원(8월)'!AA42)</x:f>
        <x:v>0</x:v>
      </x:c>
      <x:c r="J519" s="296" t="n">
        <x:f>SUM(E519:I519)</x:f>
        <x:v>32</x:v>
      </x:c>
      <x:c r="K519" s="291" t="str">
        <x:v>8월</x:v>
      </x:c>
    </x:row>
    <x:row r="520">
      <x:c r="A520" s="291" t="n">
        <x:f>IF('초등학교+병설유치원(8월)'!A42="","",'초등학교+병설유치원(8월)'!A42)</x:f>
        <x:v>26</x:v>
      </x:c>
      <x:c r="B520" s="291" t="str">
        <x:v>초등학교</x:v>
      </x:c>
      <x:c r="C520" s="291" t="str">
        <x:f>IF('초등학교+병설유치원(8월)'!B42="","",'초등학교+병설유치원(8월)'!B42)</x:f>
        <x:v>이리팔봉초</x:v>
      </x:c>
      <x:c r="D520" s="293" t="n">
        <x:v>46239</x:v>
      </x:c>
      <x:c r="E520" s="294" t="n">
        <x:f>IF('초등학교+병설유치원(8월)'!AC42="",0,'초등학교+병설유치원(8월)'!AC42)</x:f>
        <x:v>15</x:v>
      </x:c>
      <x:c r="F520" s="294" t="n">
        <x:f>IF('초등학교+병설유치원(8월)'!AD42="",0,'초등학교+병설유치원(8월)'!AD42)</x:f>
        <x:v>17</x:v>
      </x:c>
      <x:c r="G520" s="294" t="n">
        <x:f>IF('초등학교+병설유치원(8월)'!AE42="",0,'초등학교+병설유치원(8월)'!AE42)</x:f>
        <x:v>0</x:v>
      </x:c>
      <x:c r="H520" s="294" t="n">
        <x:f>IF('초등학교+병설유치원(8월)'!AF42="",0,'초등학교+병설유치원(8월)'!AF42)</x:f>
        <x:v>0</x:v>
      </x:c>
      <x:c r="I520" s="294" t="n">
        <x:f>IF('초등학교+병설유치원(8월)'!AG42="",0,'초등학교+병설유치원(8월)'!AG42)</x:f>
        <x:v>0</x:v>
      </x:c>
      <x:c r="J520" s="296" t="n">
        <x:f>SUM(E520:I520)</x:f>
        <x:v>32</x:v>
      </x:c>
      <x:c r="K520" s="291" t="str">
        <x:v>8월</x:v>
      </x:c>
    </x:row>
    <x:row r="521">
      <x:c r="A521" s="291" t="n">
        <x:f>IF('초등학교+병설유치원(8월)'!A42="","",'초등학교+병설유치원(8월)'!A42)</x:f>
        <x:v>26</x:v>
      </x:c>
      <x:c r="B521" s="291" t="str">
        <x:v>초등학교</x:v>
      </x:c>
      <x:c r="C521" s="291" t="str">
        <x:f>IF('초등학교+병설유치원(8월)'!B42="","",'초등학교+병설유치원(8월)'!B42)</x:f>
        <x:v>이리팔봉초</x:v>
      </x:c>
      <x:c r="D521" s="293" t="n">
        <x:v>46240</x:v>
      </x:c>
      <x:c r="E521" s="294" t="n">
        <x:f>IF('초등학교+병설유치원(8월)'!AI42="",0,'초등학교+병설유치원(8월)'!AI42)</x:f>
        <x:v>15</x:v>
      </x:c>
      <x:c r="F521" s="294" t="n">
        <x:f>IF('초등학교+병설유치원(8월)'!AJ42="",0,'초등학교+병설유치원(8월)'!AJ42)</x:f>
        <x:v>17</x:v>
      </x:c>
      <x:c r="G521" s="294" t="n">
        <x:f>IF('초등학교+병설유치원(8월)'!AK42="",0,'초등학교+병설유치원(8월)'!AK42)</x:f>
        <x:v>0</x:v>
      </x:c>
      <x:c r="H521" s="294" t="n">
        <x:f>IF('초등학교+병설유치원(8월)'!AL42="",0,'초등학교+병설유치원(8월)'!AL42)</x:f>
        <x:v>0</x:v>
      </x:c>
      <x:c r="I521" s="294" t="n">
        <x:f>IF('초등학교+병설유치원(8월)'!AM42="",0,'초등학교+병설유치원(8월)'!AM42)</x:f>
        <x:v>0</x:v>
      </x:c>
      <x:c r="J521" s="296" t="n">
        <x:f>SUM(E521:I521)</x:f>
        <x:v>32</x:v>
      </x:c>
      <x:c r="K521" s="291" t="str">
        <x:v>8월</x:v>
      </x:c>
    </x:row>
    <x:row r="522">
      <x:c r="A522" s="291" t="n">
        <x:f>IF('초등학교+병설유치원(8월)'!A42="","",'초등학교+병설유치원(8월)'!A42)</x:f>
        <x:v>26</x:v>
      </x:c>
      <x:c r="B522" s="291" t="str">
        <x:v>초등학교</x:v>
      </x:c>
      <x:c r="C522" s="291" t="str">
        <x:f>IF('초등학교+병설유치원(8월)'!B42="","",'초등학교+병설유치원(8월)'!B42)</x:f>
        <x:v>이리팔봉초</x:v>
      </x:c>
      <x:c r="D522" s="293" t="n">
        <x:v>46241</x:v>
      </x:c>
      <x:c r="E522" s="294" t="n">
        <x:f>IF('초등학교+병설유치원(8월)'!AO42="",0,'초등학교+병설유치원(8월)'!AO42)</x:f>
        <x:v>15</x:v>
      </x:c>
      <x:c r="F522" s="294" t="n">
        <x:f>IF('초등학교+병설유치원(8월)'!AP42="",0,'초등학교+병설유치원(8월)'!AP42)</x:f>
        <x:v>17</x:v>
      </x:c>
      <x:c r="G522" s="294" t="n">
        <x:f>IF('초등학교+병설유치원(8월)'!AQ42="",0,'초등학교+병설유치원(8월)'!AQ42)</x:f>
        <x:v>0</x:v>
      </x:c>
      <x:c r="H522" s="294" t="n">
        <x:f>IF('초등학교+병설유치원(8월)'!AR42="",0,'초등학교+병설유치원(8월)'!AR42)</x:f>
        <x:v>0</x:v>
      </x:c>
      <x:c r="I522" s="294" t="n">
        <x:f>IF('초등학교+병설유치원(8월)'!AS42="",0,'초등학교+병설유치원(8월)'!AS42)</x:f>
        <x:v>0</x:v>
      </x:c>
      <x:c r="J522" s="296" t="n">
        <x:f>SUM(E522:I522)</x:f>
        <x:v>32</x:v>
      </x:c>
      <x:c r="K522" s="291" t="str">
        <x:v>8월</x:v>
      </x:c>
    </x:row>
    <x:row r="523">
      <x:c r="A523" s="291" t="n">
        <x:f>IF('초등학교+병설유치원(8월)'!A42="","",'초등학교+병설유치원(8월)'!A42)</x:f>
        <x:v>26</x:v>
      </x:c>
      <x:c r="B523" s="291" t="str">
        <x:v>초등학교</x:v>
      </x:c>
      <x:c r="C523" s="291" t="str">
        <x:f>IF('초등학교+병설유치원(8월)'!B42="","",'초등학교+병설유치원(8월)'!B42)</x:f>
        <x:v>이리팔봉초</x:v>
      </x:c>
      <x:c r="D523" s="293" t="n">
        <x:v>46244</x:v>
      </x:c>
      <x:c r="E523" s="294" t="n">
        <x:f>IF('초등학교+병설유치원(8월)'!AU42="",0,'초등학교+병설유치원(8월)'!AU42)</x:f>
        <x:v>15</x:v>
      </x:c>
      <x:c r="F523" s="294" t="n">
        <x:f>IF('초등학교+병설유치원(8월)'!AV42="",0,'초등학교+병설유치원(8월)'!AV42)</x:f>
        <x:v>17</x:v>
      </x:c>
      <x:c r="G523" s="294" t="n">
        <x:f>IF('초등학교+병설유치원(8월)'!AW42="",0,'초등학교+병설유치원(8월)'!AW42)</x:f>
        <x:v>0</x:v>
      </x:c>
      <x:c r="H523" s="294" t="n">
        <x:f>IF('초등학교+병설유치원(8월)'!AX42="",0,'초등학교+병설유치원(8월)'!AX42)</x:f>
        <x:v>0</x:v>
      </x:c>
      <x:c r="I523" s="294" t="n">
        <x:f>IF('초등학교+병설유치원(8월)'!AY42="",0,'초등학교+병설유치원(8월)'!AY42)</x:f>
        <x:v>0</x:v>
      </x:c>
      <x:c r="J523" s="296" t="n">
        <x:f>SUM(E523:I523)</x:f>
        <x:v>32</x:v>
      </x:c>
      <x:c r="K523" s="291" t="str">
        <x:v>8월</x:v>
      </x:c>
    </x:row>
    <x:row r="524">
      <x:c r="A524" s="291" t="n">
        <x:f>IF('초등학교+병설유치원(8월)'!A42="","",'초등학교+병설유치원(8월)'!A42)</x:f>
        <x:v>26</x:v>
      </x:c>
      <x:c r="B524" s="291" t="str">
        <x:v>초등학교</x:v>
      </x:c>
      <x:c r="C524" s="291" t="str">
        <x:f>IF('초등학교+병설유치원(8월)'!B42="","",'초등학교+병설유치원(8월)'!B42)</x:f>
        <x:v>이리팔봉초</x:v>
      </x:c>
      <x:c r="D524" s="293" t="n">
        <x:v>46245</x:v>
      </x:c>
      <x:c r="E524" s="294" t="n">
        <x:f>IF('초등학교+병설유치원(8월)'!BA42="",0,'초등학교+병설유치원(8월)'!BA42)</x:f>
        <x:v>15</x:v>
      </x:c>
      <x:c r="F524" s="294" t="n">
        <x:f>IF('초등학교+병설유치원(8월)'!BB42="",0,'초등학교+병설유치원(8월)'!BB42)</x:f>
        <x:v>17</x:v>
      </x:c>
      <x:c r="G524" s="294" t="n">
        <x:f>IF('초등학교+병설유치원(8월)'!BC42="",0,'초등학교+병설유치원(8월)'!BC42)</x:f>
        <x:v>0</x:v>
      </x:c>
      <x:c r="H524" s="294" t="n">
        <x:f>IF('초등학교+병설유치원(8월)'!BD42="",0,'초등학교+병설유치원(8월)'!BD42)</x:f>
        <x:v>0</x:v>
      </x:c>
      <x:c r="I524" s="294" t="n">
        <x:f>IF('초등학교+병설유치원(8월)'!BE42="",0,'초등학교+병설유치원(8월)'!BE42)</x:f>
        <x:v>0</x:v>
      </x:c>
      <x:c r="J524" s="296" t="n">
        <x:f>SUM(E524:I524)</x:f>
        <x:v>32</x:v>
      </x:c>
      <x:c r="K524" s="291" t="str">
        <x:v>8월</x:v>
      </x:c>
    </x:row>
    <x:row r="525">
      <x:c r="A525" s="291" t="n">
        <x:f>IF('초등학교+병설유치원(8월)'!A42="","",'초등학교+병설유치원(8월)'!A42)</x:f>
        <x:v>26</x:v>
      </x:c>
      <x:c r="B525" s="291" t="str">
        <x:v>초등학교</x:v>
      </x:c>
      <x:c r="C525" s="291" t="str">
        <x:f>IF('초등학교+병설유치원(8월)'!B42="","",'초등학교+병설유치원(8월)'!B42)</x:f>
        <x:v>이리팔봉초</x:v>
      </x:c>
      <x:c r="D525" s="293" t="n">
        <x:v>46246</x:v>
      </x:c>
      <x:c r="E525" s="294" t="n">
        <x:f>IF('초등학교+병설유치원(8월)'!BG42="",0,'초등학교+병설유치원(8월)'!BG42)</x:f>
        <x:v>15</x:v>
      </x:c>
      <x:c r="F525" s="294" t="n">
        <x:f>IF('초등학교+병설유치원(8월)'!BH42="",0,'초등학교+병설유치원(8월)'!BH42)</x:f>
        <x:v>17</x:v>
      </x:c>
      <x:c r="G525" s="294" t="n">
        <x:f>IF('초등학교+병설유치원(8월)'!BI42="",0,'초등학교+병설유치원(8월)'!BI42)</x:f>
        <x:v>0</x:v>
      </x:c>
      <x:c r="H525" s="294" t="n">
        <x:f>IF('초등학교+병설유치원(8월)'!BJ42="",0,'초등학교+병설유치원(8월)'!BJ42)</x:f>
        <x:v>0</x:v>
      </x:c>
      <x:c r="I525" s="294" t="n">
        <x:f>IF('초등학교+병설유치원(8월)'!BK42="",0,'초등학교+병설유치원(8월)'!BK42)</x:f>
        <x:v>0</x:v>
      </x:c>
      <x:c r="J525" s="296" t="n">
        <x:f>SUM(E525:I525)</x:f>
        <x:v>32</x:v>
      </x:c>
      <x:c r="K525" s="291" t="str">
        <x:v>8월</x:v>
      </x:c>
    </x:row>
    <x:row r="526">
      <x:c r="A526" s="291" t="n">
        <x:f>IF('초등학교+병설유치원(8월)'!A42="","",'초등학교+병설유치원(8월)'!A42)</x:f>
        <x:v>26</x:v>
      </x:c>
      <x:c r="B526" s="291" t="str">
        <x:v>초등학교</x:v>
      </x:c>
      <x:c r="C526" s="291" t="str">
        <x:f>IF('초등학교+병설유치원(8월)'!B42="","",'초등학교+병설유치원(8월)'!B42)</x:f>
        <x:v>이리팔봉초</x:v>
      </x:c>
      <x:c r="D526" s="293" t="n">
        <x:v>46247</x:v>
      </x:c>
      <x:c r="E526" s="294" t="n">
        <x:f>IF('초등학교+병설유치원(8월)'!BM42="",0,'초등학교+병설유치원(8월)'!BM42)</x:f>
        <x:v>15</x:v>
      </x:c>
      <x:c r="F526" s="294" t="n">
        <x:f>IF('초등학교+병설유치원(8월)'!BN42="",0,'초등학교+병설유치원(8월)'!BN42)</x:f>
        <x:v>17</x:v>
      </x:c>
      <x:c r="G526" s="294" t="n">
        <x:f>IF('초등학교+병설유치원(8월)'!BO42="",0,'초등학교+병설유치원(8월)'!BO42)</x:f>
        <x:v>0</x:v>
      </x:c>
      <x:c r="H526" s="294" t="n">
        <x:f>IF('초등학교+병설유치원(8월)'!BP42="",0,'초등학교+병설유치원(8월)'!BP42)</x:f>
        <x:v>0</x:v>
      </x:c>
      <x:c r="I526" s="294" t="n">
        <x:f>IF('초등학교+병설유치원(8월)'!BQ42="",0,'초등학교+병설유치원(8월)'!BQ42)</x:f>
        <x:v>0</x:v>
      </x:c>
      <x:c r="J526" s="296" t="n">
        <x:f>SUM(E526:I526)</x:f>
        <x:v>32</x:v>
      </x:c>
      <x:c r="K526" s="291" t="str">
        <x:v>8월</x:v>
      </x:c>
    </x:row>
    <x:row r="527">
      <x:c r="A527" s="291" t="n">
        <x:f>IF('초등학교+병설유치원(8월)'!A42="","",'초등학교+병설유치원(8월)'!A42)</x:f>
        <x:v>26</x:v>
      </x:c>
      <x:c r="B527" s="291" t="str">
        <x:v>초등학교</x:v>
      </x:c>
      <x:c r="C527" s="291" t="str">
        <x:f>IF('초등학교+병설유치원(8월)'!B42="","",'초등학교+병설유치원(8월)'!B42)</x:f>
        <x:v>이리팔봉초</x:v>
      </x:c>
      <x:c r="D527" s="293" t="n">
        <x:v>46248</x:v>
      </x:c>
      <x:c r="E527" s="294" t="n">
        <x:f>IF('초등학교+병설유치원(8월)'!BS42="",0,'초등학교+병설유치원(8월)'!BS42)</x:f>
        <x:v>15</x:v>
      </x:c>
      <x:c r="F527" s="294" t="n">
        <x:f>IF('초등학교+병설유치원(8월)'!BT42="",0,'초등학교+병설유치원(8월)'!BT42)</x:f>
        <x:v>17</x:v>
      </x:c>
      <x:c r="G527" s="294" t="n">
        <x:f>IF('초등학교+병설유치원(8월)'!BU42="",0,'초등학교+병설유치원(8월)'!BU42)</x:f>
        <x:v>0</x:v>
      </x:c>
      <x:c r="H527" s="294" t="n">
        <x:f>IF('초등학교+병설유치원(8월)'!BV42="",0,'초등학교+병설유치원(8월)'!BV42)</x:f>
        <x:v>0</x:v>
      </x:c>
      <x:c r="I527" s="294" t="n">
        <x:f>IF('초등학교+병설유치원(8월)'!BW42="",0,'초등학교+병설유치원(8월)'!BW42)</x:f>
        <x:v>0</x:v>
      </x:c>
      <x:c r="J527" s="296" t="n">
        <x:f>SUM(E527:I527)</x:f>
        <x:v>32</x:v>
      </x:c>
      <x:c r="K527" s="291" t="str">
        <x:v>8월</x:v>
      </x:c>
    </x:row>
    <x:row r="528">
      <x:c r="A528" s="291" t="n">
        <x:f>IF('초등학교+병설유치원(8월)'!A42="","",'초등학교+병설유치원(8월)'!A42)</x:f>
        <x:v>26</x:v>
      </x:c>
      <x:c r="B528" s="291" t="str">
        <x:v>초등학교</x:v>
      </x:c>
      <x:c r="C528" s="291" t="str">
        <x:f>IF('초등학교+병설유치원(8월)'!B42="","",'초등학교+병설유치원(8월)'!B42)</x:f>
        <x:v>이리팔봉초</x:v>
      </x:c>
      <x:c r="D528" s="293" t="n">
        <x:v>46252</x:v>
      </x:c>
      <x:c r="E528" s="294" t="n">
        <x:f>IF('초등학교+병설유치원(8월)'!BY42="",0,'초등학교+병설유치원(8월)'!BY42)</x:f>
        <x:v>15</x:v>
      </x:c>
      <x:c r="F528" s="294" t="n">
        <x:f>IF('초등학교+병설유치원(8월)'!BZ42="",0,'초등학교+병설유치원(8월)'!BZ42)</x:f>
        <x:v>17</x:v>
      </x:c>
      <x:c r="G528" s="294" t="n">
        <x:f>IF('초등학교+병설유치원(8월)'!CA42="",0,'초등학교+병설유치원(8월)'!CA42)</x:f>
        <x:v>0</x:v>
      </x:c>
      <x:c r="H528" s="294" t="n">
        <x:f>IF('초등학교+병설유치원(8월)'!CB42="",0,'초등학교+병설유치원(8월)'!CB42)</x:f>
        <x:v>0</x:v>
      </x:c>
      <x:c r="I528" s="294" t="n">
        <x:f>IF('초등학교+병설유치원(8월)'!CC42="",0,'초등학교+병설유치원(8월)'!CC42)</x:f>
        <x:v>0</x:v>
      </x:c>
      <x:c r="J528" s="296" t="n">
        <x:f>SUM(E528:I528)</x:f>
        <x:v>32</x:v>
      </x:c>
      <x:c r="K528" s="291" t="str">
        <x:v>8월</x:v>
      </x:c>
    </x:row>
    <x:row r="529">
      <x:c r="A529" s="291" t="n">
        <x:f>IF('초등학교+병설유치원(8월)'!A42="","",'초등학교+병설유치원(8월)'!A42)</x:f>
        <x:v>26</x:v>
      </x:c>
      <x:c r="B529" s="291" t="str">
        <x:v>초등학교</x:v>
      </x:c>
      <x:c r="C529" s="291" t="str">
        <x:f>IF('초등학교+병설유치원(8월)'!B42="","",'초등학교+병설유치원(8월)'!B42)</x:f>
        <x:v>이리팔봉초</x:v>
      </x:c>
      <x:c r="D529" s="293" t="n">
        <x:v>46253</x:v>
      </x:c>
      <x:c r="E529" s="294" t="n">
        <x:f>IF('초등학교+병설유치원(8월)'!CE42="",0,'초등학교+병설유치원(8월)'!CE42)</x:f>
        <x:v>15</x:v>
      </x:c>
      <x:c r="F529" s="294" t="n">
        <x:f>IF('초등학교+병설유치원(8월)'!CF42="",0,'초등학교+병설유치원(8월)'!CF42)</x:f>
        <x:v>17</x:v>
      </x:c>
      <x:c r="G529" s="294" t="n">
        <x:f>IF('초등학교+병설유치원(8월)'!CG42="",0,'초등학교+병설유치원(8월)'!CG42)</x:f>
        <x:v>0</x:v>
      </x:c>
      <x:c r="H529" s="294" t="n">
        <x:f>IF('초등학교+병설유치원(8월)'!CH42="",0,'초등학교+병설유치원(8월)'!CH42)</x:f>
        <x:v>0</x:v>
      </x:c>
      <x:c r="I529" s="294" t="n">
        <x:f>IF('초등학교+병설유치원(8월)'!CI42="",0,'초등학교+병설유치원(8월)'!CI42)</x:f>
        <x:v>0</x:v>
      </x:c>
      <x:c r="J529" s="296" t="n">
        <x:f>SUM(E529:I529)</x:f>
        <x:v>32</x:v>
      </x:c>
      <x:c r="K529" s="291" t="str">
        <x:v>8월</x:v>
      </x:c>
    </x:row>
    <x:row r="530">
      <x:c r="A530" s="291" t="n">
        <x:f>IF('초등학교+병설유치원(8월)'!A42="","",'초등학교+병설유치원(8월)'!A42)</x:f>
        <x:v>26</x:v>
      </x:c>
      <x:c r="B530" s="291" t="str">
        <x:v>초등학교</x:v>
      </x:c>
      <x:c r="C530" s="291" t="str">
        <x:f>IF('초등학교+병설유치원(8월)'!B42="","",'초등학교+병설유치원(8월)'!B42)</x:f>
        <x:v>이리팔봉초</x:v>
      </x:c>
      <x:c r="D530" s="293" t="n">
        <x:v>46254</x:v>
      </x:c>
      <x:c r="E530" s="294" t="n">
        <x:f>IF('초등학교+병설유치원(8월)'!CK42="",0,'초등학교+병설유치원(8월)'!CK42)</x:f>
        <x:v>15</x:v>
      </x:c>
      <x:c r="F530" s="294" t="n">
        <x:f>IF('초등학교+병설유치원(8월)'!CL42="",0,'초등학교+병설유치원(8월)'!CL42)</x:f>
        <x:v>17</x:v>
      </x:c>
      <x:c r="G530" s="294" t="n">
        <x:f>IF('초등학교+병설유치원(8월)'!CM42="",0,'초등학교+병설유치원(8월)'!CM42)</x:f>
        <x:v>0</x:v>
      </x:c>
      <x:c r="H530" s="294" t="n">
        <x:f>IF('초등학교+병설유치원(8월)'!CN42="",0,'초등학교+병설유치원(8월)'!CN42)</x:f>
        <x:v>0</x:v>
      </x:c>
      <x:c r="I530" s="294" t="n">
        <x:f>IF('초등학교+병설유치원(8월)'!CO42="",0,'초등학교+병설유치원(8월)'!CO42)</x:f>
        <x:v>0</x:v>
      </x:c>
      <x:c r="J530" s="296" t="n">
        <x:f>SUM(E530:I530)</x:f>
        <x:v>32</x:v>
      </x:c>
      <x:c r="K530" s="291" t="str">
        <x:v>8월</x:v>
      </x:c>
    </x:row>
    <x:row r="531">
      <x:c r="A531" s="291" t="n">
        <x:f>IF('초등학교+병설유치원(8월)'!A43="","",'초등학교+병설유치원(8월)'!A43)</x:f>
        <x:v>27</x:v>
      </x:c>
      <x:c r="B531" s="291" t="str">
        <x:v>초등학교</x:v>
      </x:c>
      <x:c r="C531" s="291" t="str">
        <x:f>IF('초등학교+병설유치원(8월)'!B43="","",'초등학교+병설유치원(8월)'!B43)</x:f>
        <x:v>익산가온초</x:v>
      </x:c>
      <x:c r="D531" s="293" t="n">
        <x:v>46237</x:v>
      </x:c>
      <x:c r="E531" s="294" t="n">
        <x:f>IF('초등학교+병설유치원(8월)'!Q43="",0,'초등학교+병설유치원(8월)'!Q43)</x:f>
        <x:v>19</x:v>
      </x:c>
      <x:c r="F531" s="294" t="n">
        <x:f>IF('초등학교+병설유치원(8월)'!R43="",0,'초등학교+병설유치원(8월)'!R43)</x:f>
        <x:v>18</x:v>
      </x:c>
      <x:c r="G531" s="294" t="n">
        <x:f>IF('초등학교+병설유치원(8월)'!S43="",0,'초등학교+병설유치원(8월)'!S43)</x:f>
        <x:v>16</x:v>
      </x:c>
      <x:c r="H531" s="294" t="n">
        <x:f>IF('초등학교+병설유치원(8월)'!T43="",0,'초등학교+병설유치원(8월)'!T43)</x:f>
        <x:v>0</x:v>
      </x:c>
      <x:c r="I531" s="294" t="n">
        <x:f>IF('초등학교+병설유치원(8월)'!U43="",0,'초등학교+병설유치원(8월)'!U43)</x:f>
        <x:v>0</x:v>
      </x:c>
      <x:c r="J531" s="296" t="n">
        <x:f>SUM(E531:I531)</x:f>
        <x:v>53</x:v>
      </x:c>
      <x:c r="K531" s="291" t="str">
        <x:v>8월</x:v>
      </x:c>
    </x:row>
    <x:row r="532">
      <x:c r="A532" s="291" t="n">
        <x:f>IF('초등학교+병설유치원(8월)'!A43="","",'초등학교+병설유치원(8월)'!A43)</x:f>
        <x:v>27</x:v>
      </x:c>
      <x:c r="B532" s="291" t="str">
        <x:v>초등학교</x:v>
      </x:c>
      <x:c r="C532" s="291" t="str">
        <x:f>IF('초등학교+병설유치원(8월)'!B43="","",'초등학교+병설유치원(8월)'!B43)</x:f>
        <x:v>익산가온초</x:v>
      </x:c>
      <x:c r="D532" s="293" t="n">
        <x:v>46238</x:v>
      </x:c>
      <x:c r="E532" s="294" t="n">
        <x:f>IF('초등학교+병설유치원(8월)'!W43="",0,'초등학교+병설유치원(8월)'!W43)</x:f>
        <x:v>19</x:v>
      </x:c>
      <x:c r="F532" s="294" t="n">
        <x:f>IF('초등학교+병설유치원(8월)'!X43="",0,'초등학교+병설유치원(8월)'!X43)</x:f>
        <x:v>18</x:v>
      </x:c>
      <x:c r="G532" s="294" t="n">
        <x:f>IF('초등학교+병설유치원(8월)'!Y43="",0,'초등학교+병설유치원(8월)'!Y43)</x:f>
        <x:v>16</x:v>
      </x:c>
      <x:c r="H532" s="294" t="n">
        <x:f>IF('초등학교+병설유치원(8월)'!Z43="",0,'초등학교+병설유치원(8월)'!Z43)</x:f>
        <x:v>0</x:v>
      </x:c>
      <x:c r="I532" s="294" t="n">
        <x:f>IF('초등학교+병설유치원(8월)'!AA43="",0,'초등학교+병설유치원(8월)'!AA43)</x:f>
        <x:v>0</x:v>
      </x:c>
      <x:c r="J532" s="296" t="n">
        <x:f>SUM(E532:I532)</x:f>
        <x:v>53</x:v>
      </x:c>
      <x:c r="K532" s="291" t="str">
        <x:v>8월</x:v>
      </x:c>
    </x:row>
    <x:row r="533">
      <x:c r="A533" s="291" t="n">
        <x:f>IF('초등학교+병설유치원(8월)'!A43="","",'초등학교+병설유치원(8월)'!A43)</x:f>
        <x:v>27</x:v>
      </x:c>
      <x:c r="B533" s="291" t="str">
        <x:v>초등학교</x:v>
      </x:c>
      <x:c r="C533" s="291" t="str">
        <x:f>IF('초등학교+병설유치원(8월)'!B43="","",'초등학교+병설유치원(8월)'!B43)</x:f>
        <x:v>익산가온초</x:v>
      </x:c>
      <x:c r="D533" s="293" t="n">
        <x:v>46239</x:v>
      </x:c>
      <x:c r="E533" s="294" t="n">
        <x:f>IF('초등학교+병설유치원(8월)'!AC43="",0,'초등학교+병설유치원(8월)'!AC43)</x:f>
        <x:v>19</x:v>
      </x:c>
      <x:c r="F533" s="294" t="n">
        <x:f>IF('초등학교+병설유치원(8월)'!AD43="",0,'초등학교+병설유치원(8월)'!AD43)</x:f>
        <x:v>18</x:v>
      </x:c>
      <x:c r="G533" s="294" t="n">
        <x:f>IF('초등학교+병설유치원(8월)'!AE43="",0,'초등학교+병설유치원(8월)'!AE43)</x:f>
        <x:v>16</x:v>
      </x:c>
      <x:c r="H533" s="294" t="n">
        <x:f>IF('초등학교+병설유치원(8월)'!AF43="",0,'초등학교+병설유치원(8월)'!AF43)</x:f>
        <x:v>0</x:v>
      </x:c>
      <x:c r="I533" s="294" t="n">
        <x:f>IF('초등학교+병설유치원(8월)'!AG43="",0,'초등학교+병설유치원(8월)'!AG43)</x:f>
        <x:v>0</x:v>
      </x:c>
      <x:c r="J533" s="296" t="n">
        <x:f>SUM(E533:I533)</x:f>
        <x:v>53</x:v>
      </x:c>
      <x:c r="K533" s="291" t="str">
        <x:v>8월</x:v>
      </x:c>
    </x:row>
    <x:row r="534">
      <x:c r="A534" s="291" t="n">
        <x:f>IF('초등학교+병설유치원(8월)'!A43="","",'초등학교+병설유치원(8월)'!A43)</x:f>
        <x:v>27</x:v>
      </x:c>
      <x:c r="B534" s="291" t="str">
        <x:v>초등학교</x:v>
      </x:c>
      <x:c r="C534" s="291" t="str">
        <x:f>IF('초등학교+병설유치원(8월)'!B43="","",'초등학교+병설유치원(8월)'!B43)</x:f>
        <x:v>익산가온초</x:v>
      </x:c>
      <x:c r="D534" s="293" t="n">
        <x:v>46240</x:v>
      </x:c>
      <x:c r="E534" s="294" t="n">
        <x:f>IF('초등학교+병설유치원(8월)'!AI43="",0,'초등학교+병설유치원(8월)'!AI43)</x:f>
        <x:v>19</x:v>
      </x:c>
      <x:c r="F534" s="294" t="n">
        <x:f>IF('초등학교+병설유치원(8월)'!AJ43="",0,'초등학교+병설유치원(8월)'!AJ43)</x:f>
        <x:v>18</x:v>
      </x:c>
      <x:c r="G534" s="294" t="n">
        <x:f>IF('초등학교+병설유치원(8월)'!AK43="",0,'초등학교+병설유치원(8월)'!AK43)</x:f>
        <x:v>16</x:v>
      </x:c>
      <x:c r="H534" s="294" t="n">
        <x:f>IF('초등학교+병설유치원(8월)'!AL43="",0,'초등학교+병설유치원(8월)'!AL43)</x:f>
        <x:v>0</x:v>
      </x:c>
      <x:c r="I534" s="294" t="n">
        <x:f>IF('초등학교+병설유치원(8월)'!AM43="",0,'초등학교+병설유치원(8월)'!AM43)</x:f>
        <x:v>0</x:v>
      </x:c>
      <x:c r="J534" s="296" t="n">
        <x:f>SUM(E534:I534)</x:f>
        <x:v>53</x:v>
      </x:c>
      <x:c r="K534" s="291" t="str">
        <x:v>8월</x:v>
      </x:c>
    </x:row>
    <x:row r="535">
      <x:c r="A535" s="291" t="n">
        <x:f>IF('초등학교+병설유치원(8월)'!A43="","",'초등학교+병설유치원(8월)'!A43)</x:f>
        <x:v>27</x:v>
      </x:c>
      <x:c r="B535" s="291" t="str">
        <x:v>초등학교</x:v>
      </x:c>
      <x:c r="C535" s="291" t="str">
        <x:f>IF('초등학교+병설유치원(8월)'!B43="","",'초등학교+병설유치원(8월)'!B43)</x:f>
        <x:v>익산가온초</x:v>
      </x:c>
      <x:c r="D535" s="293" t="n">
        <x:v>46241</x:v>
      </x:c>
      <x:c r="E535" s="294" t="n">
        <x:f>IF('초등학교+병설유치원(8월)'!AO43="",0,'초등학교+병설유치원(8월)'!AO43)</x:f>
        <x:v>19</x:v>
      </x:c>
      <x:c r="F535" s="294" t="n">
        <x:f>IF('초등학교+병설유치원(8월)'!AP43="",0,'초등학교+병설유치원(8월)'!AP43)</x:f>
        <x:v>18</x:v>
      </x:c>
      <x:c r="G535" s="294" t="n">
        <x:f>IF('초등학교+병설유치원(8월)'!AQ43="",0,'초등학교+병설유치원(8월)'!AQ43)</x:f>
        <x:v>16</x:v>
      </x:c>
      <x:c r="H535" s="294" t="n">
        <x:f>IF('초등학교+병설유치원(8월)'!AR43="",0,'초등학교+병설유치원(8월)'!AR43)</x:f>
        <x:v>0</x:v>
      </x:c>
      <x:c r="I535" s="294" t="n">
        <x:f>IF('초등학교+병설유치원(8월)'!AS43="",0,'초등학교+병설유치원(8월)'!AS43)</x:f>
        <x:v>0</x:v>
      </x:c>
      <x:c r="J535" s="296" t="n">
        <x:f>SUM(E535:I535)</x:f>
        <x:v>53</x:v>
      </x:c>
      <x:c r="K535" s="291" t="str">
        <x:v>8월</x:v>
      </x:c>
    </x:row>
    <x:row r="536">
      <x:c r="A536" s="291" t="n">
        <x:f>IF('초등학교+병설유치원(8월)'!A43="","",'초등학교+병설유치원(8월)'!A43)</x:f>
        <x:v>27</x:v>
      </x:c>
      <x:c r="B536" s="291" t="str">
        <x:v>초등학교</x:v>
      </x:c>
      <x:c r="C536" s="291" t="str">
        <x:f>IF('초등학교+병설유치원(8월)'!B43="","",'초등학교+병설유치원(8월)'!B43)</x:f>
        <x:v>익산가온초</x:v>
      </x:c>
      <x:c r="D536" s="293" t="n">
        <x:v>46244</x:v>
      </x:c>
      <x:c r="E536" s="294" t="n">
        <x:f>IF('초등학교+병설유치원(8월)'!AU43="",0,'초등학교+병설유치원(8월)'!AU43)</x:f>
        <x:v>19</x:v>
      </x:c>
      <x:c r="F536" s="294" t="n">
        <x:f>IF('초등학교+병설유치원(8월)'!AV43="",0,'초등학교+병설유치원(8월)'!AV43)</x:f>
        <x:v>18</x:v>
      </x:c>
      <x:c r="G536" s="294" t="n">
        <x:f>IF('초등학교+병설유치원(8월)'!AW43="",0,'초등학교+병설유치원(8월)'!AW43)</x:f>
        <x:v>16</x:v>
      </x:c>
      <x:c r="H536" s="294" t="n">
        <x:f>IF('초등학교+병설유치원(8월)'!AX43="",0,'초등학교+병설유치원(8월)'!AX43)</x:f>
        <x:v>0</x:v>
      </x:c>
      <x:c r="I536" s="294" t="n">
        <x:f>IF('초등학교+병설유치원(8월)'!AY43="",0,'초등학교+병설유치원(8월)'!AY43)</x:f>
        <x:v>0</x:v>
      </x:c>
      <x:c r="J536" s="296" t="n">
        <x:f>SUM(E536:I536)</x:f>
        <x:v>53</x:v>
      </x:c>
      <x:c r="K536" s="291" t="str">
        <x:v>8월</x:v>
      </x:c>
    </x:row>
    <x:row r="537">
      <x:c r="A537" s="291" t="n">
        <x:f>IF('초등학교+병설유치원(8월)'!A43="","",'초등학교+병설유치원(8월)'!A43)</x:f>
        <x:v>27</x:v>
      </x:c>
      <x:c r="B537" s="291" t="str">
        <x:v>초등학교</x:v>
      </x:c>
      <x:c r="C537" s="291" t="str">
        <x:f>IF('초등학교+병설유치원(8월)'!B43="","",'초등학교+병설유치원(8월)'!B43)</x:f>
        <x:v>익산가온초</x:v>
      </x:c>
      <x:c r="D537" s="293" t="n">
        <x:v>46245</x:v>
      </x:c>
      <x:c r="E537" s="294" t="n">
        <x:f>IF('초등학교+병설유치원(8월)'!BA43="",0,'초등학교+병설유치원(8월)'!BA43)</x:f>
        <x:v>19</x:v>
      </x:c>
      <x:c r="F537" s="294" t="n">
        <x:f>IF('초등학교+병설유치원(8월)'!BB43="",0,'초등학교+병설유치원(8월)'!BB43)</x:f>
        <x:v>18</x:v>
      </x:c>
      <x:c r="G537" s="294" t="n">
        <x:f>IF('초등학교+병설유치원(8월)'!BC43="",0,'초등학교+병설유치원(8월)'!BC43)</x:f>
        <x:v>16</x:v>
      </x:c>
      <x:c r="H537" s="294" t="n">
        <x:f>IF('초등학교+병설유치원(8월)'!BD43="",0,'초등학교+병설유치원(8월)'!BD43)</x:f>
        <x:v>0</x:v>
      </x:c>
      <x:c r="I537" s="294" t="n">
        <x:f>IF('초등학교+병설유치원(8월)'!BE43="",0,'초등학교+병설유치원(8월)'!BE43)</x:f>
        <x:v>0</x:v>
      </x:c>
      <x:c r="J537" s="296" t="n">
        <x:f>SUM(E537:I537)</x:f>
        <x:v>53</x:v>
      </x:c>
      <x:c r="K537" s="291" t="str">
        <x:v>8월</x:v>
      </x:c>
    </x:row>
    <x:row r="538">
      <x:c r="A538" s="291" t="n">
        <x:f>IF('초등학교+병설유치원(8월)'!A43="","",'초등학교+병설유치원(8월)'!A43)</x:f>
        <x:v>27</x:v>
      </x:c>
      <x:c r="B538" s="291" t="str">
        <x:v>초등학교</x:v>
      </x:c>
      <x:c r="C538" s="291" t="str">
        <x:f>IF('초등학교+병설유치원(8월)'!B43="","",'초등학교+병설유치원(8월)'!B43)</x:f>
        <x:v>익산가온초</x:v>
      </x:c>
      <x:c r="D538" s="293" t="n">
        <x:v>46246</x:v>
      </x:c>
      <x:c r="E538" s="294" t="n">
        <x:f>IF('초등학교+병설유치원(8월)'!BG43="",0,'초등학교+병설유치원(8월)'!BG43)</x:f>
        <x:v>19</x:v>
      </x:c>
      <x:c r="F538" s="294" t="n">
        <x:f>IF('초등학교+병설유치원(8월)'!BH43="",0,'초등학교+병설유치원(8월)'!BH43)</x:f>
        <x:v>18</x:v>
      </x:c>
      <x:c r="G538" s="294" t="n">
        <x:f>IF('초등학교+병설유치원(8월)'!BI43="",0,'초등학교+병설유치원(8월)'!BI43)</x:f>
        <x:v>16</x:v>
      </x:c>
      <x:c r="H538" s="294" t="n">
        <x:f>IF('초등학교+병설유치원(8월)'!BJ43="",0,'초등학교+병설유치원(8월)'!BJ43)</x:f>
        <x:v>0</x:v>
      </x:c>
      <x:c r="I538" s="294" t="n">
        <x:f>IF('초등학교+병설유치원(8월)'!BK43="",0,'초등학교+병설유치원(8월)'!BK43)</x:f>
        <x:v>0</x:v>
      </x:c>
      <x:c r="J538" s="296" t="n">
        <x:f>SUM(E538:I538)</x:f>
        <x:v>53</x:v>
      </x:c>
      <x:c r="K538" s="291" t="str">
        <x:v>8월</x:v>
      </x:c>
    </x:row>
    <x:row r="539">
      <x:c r="A539" s="291" t="n">
        <x:f>IF('초등학교+병설유치원(8월)'!A43="","",'초등학교+병설유치원(8월)'!A43)</x:f>
        <x:v>27</x:v>
      </x:c>
      <x:c r="B539" s="291" t="str">
        <x:v>초등학교</x:v>
      </x:c>
      <x:c r="C539" s="291" t="str">
        <x:f>IF('초등학교+병설유치원(8월)'!B43="","",'초등학교+병설유치원(8월)'!B43)</x:f>
        <x:v>익산가온초</x:v>
      </x:c>
      <x:c r="D539" s="293" t="n">
        <x:v>46247</x:v>
      </x:c>
      <x:c r="E539" s="294" t="n">
        <x:f>IF('초등학교+병설유치원(8월)'!BM43="",0,'초등학교+병설유치원(8월)'!BM43)</x:f>
        <x:v>19</x:v>
      </x:c>
      <x:c r="F539" s="294" t="n">
        <x:f>IF('초등학교+병설유치원(8월)'!BN43="",0,'초등학교+병설유치원(8월)'!BN43)</x:f>
        <x:v>18</x:v>
      </x:c>
      <x:c r="G539" s="294" t="n">
        <x:f>IF('초등학교+병설유치원(8월)'!BO43="",0,'초등학교+병설유치원(8월)'!BO43)</x:f>
        <x:v>16</x:v>
      </x:c>
      <x:c r="H539" s="294" t="n">
        <x:f>IF('초등학교+병설유치원(8월)'!BP43="",0,'초등학교+병설유치원(8월)'!BP43)</x:f>
        <x:v>0</x:v>
      </x:c>
      <x:c r="I539" s="294" t="n">
        <x:f>IF('초등학교+병설유치원(8월)'!BQ43="",0,'초등학교+병설유치원(8월)'!BQ43)</x:f>
        <x:v>0</x:v>
      </x:c>
      <x:c r="J539" s="296" t="n">
        <x:f>SUM(E539:I539)</x:f>
        <x:v>53</x:v>
      </x:c>
      <x:c r="K539" s="291" t="str">
        <x:v>8월</x:v>
      </x:c>
    </x:row>
    <x:row r="540">
      <x:c r="A540" s="291" t="n">
        <x:f>IF('초등학교+병설유치원(8월)'!A43="","",'초등학교+병설유치원(8월)'!A43)</x:f>
        <x:v>27</x:v>
      </x:c>
      <x:c r="B540" s="291" t="str">
        <x:v>초등학교</x:v>
      </x:c>
      <x:c r="C540" s="291" t="str">
        <x:f>IF('초등학교+병설유치원(8월)'!B43="","",'초등학교+병설유치원(8월)'!B43)</x:f>
        <x:v>익산가온초</x:v>
      </x:c>
      <x:c r="D540" s="293" t="n">
        <x:v>46248</x:v>
      </x:c>
      <x:c r="E540" s="294" t="n">
        <x:f>IF('초등학교+병설유치원(8월)'!BS43="",0,'초등학교+병설유치원(8월)'!BS43)</x:f>
        <x:v>19</x:v>
      </x:c>
      <x:c r="F540" s="294" t="n">
        <x:f>IF('초등학교+병설유치원(8월)'!BT43="",0,'초등학교+병설유치원(8월)'!BT43)</x:f>
        <x:v>18</x:v>
      </x:c>
      <x:c r="G540" s="294" t="n">
        <x:f>IF('초등학교+병설유치원(8월)'!BU43="",0,'초등학교+병설유치원(8월)'!BU43)</x:f>
        <x:v>16</x:v>
      </x:c>
      <x:c r="H540" s="294" t="n">
        <x:f>IF('초등학교+병설유치원(8월)'!BV43="",0,'초등학교+병설유치원(8월)'!BV43)</x:f>
        <x:v>0</x:v>
      </x:c>
      <x:c r="I540" s="294" t="n">
        <x:f>IF('초등학교+병설유치원(8월)'!BW43="",0,'초등학교+병설유치원(8월)'!BW43)</x:f>
        <x:v>0</x:v>
      </x:c>
      <x:c r="J540" s="296" t="n">
        <x:f>SUM(E540:I540)</x:f>
        <x:v>53</x:v>
      </x:c>
      <x:c r="K540" s="291" t="str">
        <x:v>8월</x:v>
      </x:c>
    </x:row>
    <x:row r="541">
      <x:c r="A541" s="291" t="str">
        <x:f>IF('초등학교+병설유치원(8월)'!A44="","",'초등학교+병설유치원(8월)'!A44)</x:f>
        <x:v>27-1</x:v>
      </x:c>
      <x:c r="B541" s="291" t="str">
        <x:v>병설유치원</x:v>
      </x:c>
      <x:c r="C541" s="291" t="str">
        <x:f>IF('초등학교+병설유치원(8월)'!B44="","",'초등학교+병설유치원(8월)'!B44)</x:f>
        <x:v>익산가온초 병설유치원</x:v>
      </x:c>
      <x:c r="D541" s="293" t="n">
        <x:v>46238</x:v>
      </x:c>
      <x:c r="E541" s="294" t="n">
        <x:f>IF('초등학교+병설유치원(8월)'!W44="",0,'초등학교+병설유치원(8월)'!W44)</x:f>
        <x:v>9</x:v>
      </x:c>
      <x:c r="F541" s="294" t="n">
        <x:f>IF('초등학교+병설유치원(8월)'!X44="",0,'초등학교+병설유치원(8월)'!X44)</x:f>
        <x:v>0</x:v>
      </x:c>
      <x:c r="G541" s="294" t="n">
        <x:f>IF('초등학교+병설유치원(8월)'!Y44="",0,'초등학교+병설유치원(8월)'!Y44)</x:f>
        <x:v>0</x:v>
      </x:c>
      <x:c r="H541" s="294" t="n">
        <x:f>IF('초등학교+병설유치원(8월)'!Z44="",0,'초등학교+병설유치원(8월)'!Z44)</x:f>
        <x:v>0</x:v>
      </x:c>
      <x:c r="I541" s="294" t="n">
        <x:f>IF('초등학교+병설유치원(8월)'!AA44="",0,'초등학교+병설유치원(8월)'!AA44)</x:f>
        <x:v>0</x:v>
      </x:c>
      <x:c r="J541" s="296" t="n">
        <x:f>SUM(E541:I541)</x:f>
        <x:v>9</x:v>
      </x:c>
      <x:c r="K541" s="291" t="str">
        <x:v>8월</x:v>
      </x:c>
    </x:row>
    <x:row r="542">
      <x:c r="A542" s="291" t="str">
        <x:f>IF('초등학교+병설유치원(8월)'!A44="","",'초등학교+병설유치원(8월)'!A44)</x:f>
        <x:v>27-1</x:v>
      </x:c>
      <x:c r="B542" s="291" t="str">
        <x:v>병설유치원</x:v>
      </x:c>
      <x:c r="C542" s="291" t="str">
        <x:f>IF('초등학교+병설유치원(8월)'!B44="","",'초등학교+병설유치원(8월)'!B44)</x:f>
        <x:v>익산가온초 병설유치원</x:v>
      </x:c>
      <x:c r="D542" s="293" t="n">
        <x:v>46239</x:v>
      </x:c>
      <x:c r="E542" s="294" t="n">
        <x:f>IF('초등학교+병설유치원(8월)'!AC44="",0,'초등학교+병설유치원(8월)'!AC44)</x:f>
        <x:v>9</x:v>
      </x:c>
      <x:c r="F542" s="294" t="n">
        <x:f>IF('초등학교+병설유치원(8월)'!AD44="",0,'초등학교+병설유치원(8월)'!AD44)</x:f>
        <x:v>0</x:v>
      </x:c>
      <x:c r="G542" s="294" t="n">
        <x:f>IF('초등학교+병설유치원(8월)'!AE44="",0,'초등학교+병설유치원(8월)'!AE44)</x:f>
        <x:v>0</x:v>
      </x:c>
      <x:c r="H542" s="294" t="n">
        <x:f>IF('초등학교+병설유치원(8월)'!AF44="",0,'초등학교+병설유치원(8월)'!AF44)</x:f>
        <x:v>0</x:v>
      </x:c>
      <x:c r="I542" s="294" t="n">
        <x:f>IF('초등학교+병설유치원(8월)'!AG44="",0,'초등학교+병설유치원(8월)'!AG44)</x:f>
        <x:v>0</x:v>
      </x:c>
      <x:c r="J542" s="296" t="n">
        <x:f>SUM(E542:I542)</x:f>
        <x:v>9</x:v>
      </x:c>
      <x:c r="K542" s="291" t="str">
        <x:v>8월</x:v>
      </x:c>
    </x:row>
    <x:row r="543">
      <x:c r="A543" s="291" t="str">
        <x:f>IF('초등학교+병설유치원(8월)'!A44="","",'초등학교+병설유치원(8월)'!A44)</x:f>
        <x:v>27-1</x:v>
      </x:c>
      <x:c r="B543" s="291" t="str">
        <x:v>병설유치원</x:v>
      </x:c>
      <x:c r="C543" s="291" t="str">
        <x:f>IF('초등학교+병설유치원(8월)'!B44="","",'초등학교+병설유치원(8월)'!B44)</x:f>
        <x:v>익산가온초 병설유치원</x:v>
      </x:c>
      <x:c r="D543" s="293" t="n">
        <x:v>46240</x:v>
      </x:c>
      <x:c r="E543" s="294" t="n">
        <x:f>IF('초등학교+병설유치원(8월)'!AI44="",0,'초등학교+병설유치원(8월)'!AI44)</x:f>
        <x:v>9</x:v>
      </x:c>
      <x:c r="F543" s="294" t="n">
        <x:f>IF('초등학교+병설유치원(8월)'!AJ44="",0,'초등학교+병설유치원(8월)'!AJ44)</x:f>
        <x:v>0</x:v>
      </x:c>
      <x:c r="G543" s="294" t="n">
        <x:f>IF('초등학교+병설유치원(8월)'!AK44="",0,'초등학교+병설유치원(8월)'!AK44)</x:f>
        <x:v>0</x:v>
      </x:c>
      <x:c r="H543" s="294" t="n">
        <x:f>IF('초등학교+병설유치원(8월)'!AL44="",0,'초등학교+병설유치원(8월)'!AL44)</x:f>
        <x:v>0</x:v>
      </x:c>
      <x:c r="I543" s="294" t="n">
        <x:f>IF('초등학교+병설유치원(8월)'!AM44="",0,'초등학교+병설유치원(8월)'!AM44)</x:f>
        <x:v>0</x:v>
      </x:c>
      <x:c r="J543" s="296" t="n">
        <x:f>SUM(E543:I543)</x:f>
        <x:v>9</x:v>
      </x:c>
      <x:c r="K543" s="291" t="str">
        <x:v>8월</x:v>
      </x:c>
    </x:row>
    <x:row r="544">
      <x:c r="A544" s="291" t="str">
        <x:f>IF('초등학교+병설유치원(8월)'!A44="","",'초등학교+병설유치원(8월)'!A44)</x:f>
        <x:v>27-1</x:v>
      </x:c>
      <x:c r="B544" s="291" t="str">
        <x:v>병설유치원</x:v>
      </x:c>
      <x:c r="C544" s="291" t="str">
        <x:f>IF('초등학교+병설유치원(8월)'!B44="","",'초등학교+병설유치원(8월)'!B44)</x:f>
        <x:v>익산가온초 병설유치원</x:v>
      </x:c>
      <x:c r="D544" s="293" t="n">
        <x:v>46241</x:v>
      </x:c>
      <x:c r="E544" s="294" t="n">
        <x:f>IF('초등학교+병설유치원(8월)'!AO44="",0,'초등학교+병설유치원(8월)'!AO44)</x:f>
        <x:v>9</x:v>
      </x:c>
      <x:c r="F544" s="294" t="n">
        <x:f>IF('초등학교+병설유치원(8월)'!AP44="",0,'초등학교+병설유치원(8월)'!AP44)</x:f>
        <x:v>0</x:v>
      </x:c>
      <x:c r="G544" s="294" t="n">
        <x:f>IF('초등학교+병설유치원(8월)'!AQ44="",0,'초등학교+병설유치원(8월)'!AQ44)</x:f>
        <x:v>0</x:v>
      </x:c>
      <x:c r="H544" s="294" t="n">
        <x:f>IF('초등학교+병설유치원(8월)'!AR44="",0,'초등학교+병설유치원(8월)'!AR44)</x:f>
        <x:v>0</x:v>
      </x:c>
      <x:c r="I544" s="294" t="n">
        <x:f>IF('초등학교+병설유치원(8월)'!AS44="",0,'초등학교+병설유치원(8월)'!AS44)</x:f>
        <x:v>0</x:v>
      </x:c>
      <x:c r="J544" s="296" t="n">
        <x:f>SUM(E544:I544)</x:f>
        <x:v>9</x:v>
      </x:c>
      <x:c r="K544" s="291" t="str">
        <x:v>8월</x:v>
      </x:c>
    </x:row>
    <x:row r="545">
      <x:c r="A545" s="291" t="str">
        <x:f>IF('초등학교+병설유치원(8월)'!A44="","",'초등학교+병설유치원(8월)'!A44)</x:f>
        <x:v>27-1</x:v>
      </x:c>
      <x:c r="B545" s="291" t="str">
        <x:v>병설유치원</x:v>
      </x:c>
      <x:c r="C545" s="291" t="str">
        <x:f>IF('초등학교+병설유치원(8월)'!B44="","",'초등학교+병설유치원(8월)'!B44)</x:f>
        <x:v>익산가온초 병설유치원</x:v>
      </x:c>
      <x:c r="D545" s="293" t="n">
        <x:v>46244</x:v>
      </x:c>
      <x:c r="E545" s="294" t="n">
        <x:f>IF('초등학교+병설유치원(8월)'!AU44="",0,'초등학교+병설유치원(8월)'!AU44)</x:f>
        <x:v>9</x:v>
      </x:c>
      <x:c r="F545" s="294" t="n">
        <x:f>IF('초등학교+병설유치원(8월)'!AV44="",0,'초등학교+병설유치원(8월)'!AV44)</x:f>
        <x:v>0</x:v>
      </x:c>
      <x:c r="G545" s="294" t="n">
        <x:f>IF('초등학교+병설유치원(8월)'!AW44="",0,'초등학교+병설유치원(8월)'!AW44)</x:f>
        <x:v>0</x:v>
      </x:c>
      <x:c r="H545" s="294" t="n">
        <x:f>IF('초등학교+병설유치원(8월)'!AX44="",0,'초등학교+병설유치원(8월)'!AX44)</x:f>
        <x:v>0</x:v>
      </x:c>
      <x:c r="I545" s="294" t="n">
        <x:f>IF('초등학교+병설유치원(8월)'!AY44="",0,'초등학교+병설유치원(8월)'!AY44)</x:f>
        <x:v>0</x:v>
      </x:c>
      <x:c r="J545" s="296" t="n">
        <x:f>SUM(E545:I545)</x:f>
        <x:v>9</x:v>
      </x:c>
      <x:c r="K545" s="291" t="str">
        <x:v>8월</x:v>
      </x:c>
    </x:row>
    <x:row r="546">
      <x:c r="A546" s="291" t="str">
        <x:f>IF('초등학교+병설유치원(8월)'!A44="","",'초등학교+병설유치원(8월)'!A44)</x:f>
        <x:v>27-1</x:v>
      </x:c>
      <x:c r="B546" s="291" t="str">
        <x:v>병설유치원</x:v>
      </x:c>
      <x:c r="C546" s="291" t="str">
        <x:f>IF('초등학교+병설유치원(8월)'!B44="","",'초등학교+병설유치원(8월)'!B44)</x:f>
        <x:v>익산가온초 병설유치원</x:v>
      </x:c>
      <x:c r="D546" s="293" t="n">
        <x:v>46245</x:v>
      </x:c>
      <x:c r="E546" s="294" t="n">
        <x:f>IF('초등학교+병설유치원(8월)'!BA44="",0,'초등학교+병설유치원(8월)'!BA44)</x:f>
        <x:v>9</x:v>
      </x:c>
      <x:c r="F546" s="294" t="n">
        <x:f>IF('초등학교+병설유치원(8월)'!BB44="",0,'초등학교+병설유치원(8월)'!BB44)</x:f>
        <x:v>0</x:v>
      </x:c>
      <x:c r="G546" s="294" t="n">
        <x:f>IF('초등학교+병설유치원(8월)'!BC44="",0,'초등학교+병설유치원(8월)'!BC44)</x:f>
        <x:v>0</x:v>
      </x:c>
      <x:c r="H546" s="294" t="n">
        <x:f>IF('초등학교+병설유치원(8월)'!BD44="",0,'초등학교+병설유치원(8월)'!BD44)</x:f>
        <x:v>0</x:v>
      </x:c>
      <x:c r="I546" s="294" t="n">
        <x:f>IF('초등학교+병설유치원(8월)'!BE44="",0,'초등학교+병설유치원(8월)'!BE44)</x:f>
        <x:v>0</x:v>
      </x:c>
      <x:c r="J546" s="296" t="n">
        <x:f>SUM(E546:I546)</x:f>
        <x:v>9</x:v>
      </x:c>
      <x:c r="K546" s="291" t="str">
        <x:v>8월</x:v>
      </x:c>
    </x:row>
    <x:row r="547">
      <x:c r="A547" s="291" t="str">
        <x:f>IF('초등학교+병설유치원(8월)'!A44="","",'초등학교+병설유치원(8월)'!A44)</x:f>
        <x:v>27-1</x:v>
      </x:c>
      <x:c r="B547" s="291" t="str">
        <x:v>병설유치원</x:v>
      </x:c>
      <x:c r="C547" s="291" t="str">
        <x:f>IF('초등학교+병설유치원(8월)'!B44="","",'초등학교+병설유치원(8월)'!B44)</x:f>
        <x:v>익산가온초 병설유치원</x:v>
      </x:c>
      <x:c r="D547" s="293" t="n">
        <x:v>46246</x:v>
      </x:c>
      <x:c r="E547" s="294" t="n">
        <x:f>IF('초등학교+병설유치원(8월)'!BG44="",0,'초등학교+병설유치원(8월)'!BG44)</x:f>
        <x:v>9</x:v>
      </x:c>
      <x:c r="F547" s="294" t="n">
        <x:f>IF('초등학교+병설유치원(8월)'!BH44="",0,'초등학교+병설유치원(8월)'!BH44)</x:f>
        <x:v>0</x:v>
      </x:c>
      <x:c r="G547" s="294" t="n">
        <x:f>IF('초등학교+병설유치원(8월)'!BI44="",0,'초등학교+병설유치원(8월)'!BI44)</x:f>
        <x:v>0</x:v>
      </x:c>
      <x:c r="H547" s="294" t="n">
        <x:f>IF('초등학교+병설유치원(8월)'!BJ44="",0,'초등학교+병설유치원(8월)'!BJ44)</x:f>
        <x:v>0</x:v>
      </x:c>
      <x:c r="I547" s="294" t="n">
        <x:f>IF('초등학교+병설유치원(8월)'!BK44="",0,'초등학교+병설유치원(8월)'!BK44)</x:f>
        <x:v>0</x:v>
      </x:c>
      <x:c r="J547" s="296" t="n">
        <x:f>SUM(E547:I547)</x:f>
        <x:v>9</x:v>
      </x:c>
      <x:c r="K547" s="291" t="str">
        <x:v>8월</x:v>
      </x:c>
    </x:row>
    <x:row r="548">
      <x:c r="A548" s="291" t="str">
        <x:f>IF('초등학교+병설유치원(8월)'!A44="","",'초등학교+병설유치원(8월)'!A44)</x:f>
        <x:v>27-1</x:v>
      </x:c>
      <x:c r="B548" s="291" t="str">
        <x:v>병설유치원</x:v>
      </x:c>
      <x:c r="C548" s="291" t="str">
        <x:f>IF('초등학교+병설유치원(8월)'!B44="","",'초등학교+병설유치원(8월)'!B44)</x:f>
        <x:v>익산가온초 병설유치원</x:v>
      </x:c>
      <x:c r="D548" s="293" t="n">
        <x:v>46247</x:v>
      </x:c>
      <x:c r="E548" s="294" t="n">
        <x:f>IF('초등학교+병설유치원(8월)'!BM44="",0,'초등학교+병설유치원(8월)'!BM44)</x:f>
        <x:v>9</x:v>
      </x:c>
      <x:c r="F548" s="294" t="n">
        <x:f>IF('초등학교+병설유치원(8월)'!BN44="",0,'초등학교+병설유치원(8월)'!BN44)</x:f>
        <x:v>0</x:v>
      </x:c>
      <x:c r="G548" s="294" t="n">
        <x:f>IF('초등학교+병설유치원(8월)'!BO44="",0,'초등학교+병설유치원(8월)'!BO44)</x:f>
        <x:v>0</x:v>
      </x:c>
      <x:c r="H548" s="294" t="n">
        <x:f>IF('초등학교+병설유치원(8월)'!BP44="",0,'초등학교+병설유치원(8월)'!BP44)</x:f>
        <x:v>0</x:v>
      </x:c>
      <x:c r="I548" s="294" t="n">
        <x:f>IF('초등학교+병설유치원(8월)'!BQ44="",0,'초등학교+병설유치원(8월)'!BQ44)</x:f>
        <x:v>0</x:v>
      </x:c>
      <x:c r="J548" s="296" t="n">
        <x:f>SUM(E548:I548)</x:f>
        <x:v>9</x:v>
      </x:c>
      <x:c r="K548" s="291" t="str">
        <x:v>8월</x:v>
      </x:c>
    </x:row>
    <x:row r="549">
      <x:c r="A549" s="291" t="str">
        <x:f>IF('초등학교+병설유치원(8월)'!A44="","",'초등학교+병설유치원(8월)'!A44)</x:f>
        <x:v>27-1</x:v>
      </x:c>
      <x:c r="B549" s="291" t="str">
        <x:v>병설유치원</x:v>
      </x:c>
      <x:c r="C549" s="291" t="str">
        <x:f>IF('초등학교+병설유치원(8월)'!B44="","",'초등학교+병설유치원(8월)'!B44)</x:f>
        <x:v>익산가온초 병설유치원</x:v>
      </x:c>
      <x:c r="D549" s="293" t="n">
        <x:v>46248</x:v>
      </x:c>
      <x:c r="E549" s="294" t="n">
        <x:f>IF('초등학교+병설유치원(8월)'!BS44="",0,'초등학교+병설유치원(8월)'!BS44)</x:f>
        <x:v>9</x:v>
      </x:c>
      <x:c r="F549" s="294" t="n">
        <x:f>IF('초등학교+병설유치원(8월)'!BT44="",0,'초등학교+병설유치원(8월)'!BT44)</x:f>
        <x:v>0</x:v>
      </x:c>
      <x:c r="G549" s="294" t="n">
        <x:f>IF('초등학교+병설유치원(8월)'!BU44="",0,'초등학교+병설유치원(8월)'!BU44)</x:f>
        <x:v>0</x:v>
      </x:c>
      <x:c r="H549" s="294" t="n">
        <x:f>IF('초등학교+병설유치원(8월)'!BV44="",0,'초등학교+병설유치원(8월)'!BV44)</x:f>
        <x:v>0</x:v>
      </x:c>
      <x:c r="I549" s="294" t="n">
        <x:f>IF('초등학교+병설유치원(8월)'!BW44="",0,'초등학교+병설유치원(8월)'!BW44)</x:f>
        <x:v>0</x:v>
      </x:c>
      <x:c r="J549" s="296" t="n">
        <x:f>SUM(E549:I549)</x:f>
        <x:v>9</x:v>
      </x:c>
      <x:c r="K549" s="291" t="str">
        <x:v>8월</x:v>
      </x:c>
    </x:row>
    <x:row r="550">
      <x:c r="A550" s="291" t="str">
        <x:f>IF('초등학교+병설유치원(8월)'!A44="","",'초등학교+병설유치원(8월)'!A44)</x:f>
        <x:v>27-1</x:v>
      </x:c>
      <x:c r="B550" s="291" t="str">
        <x:v>병설유치원</x:v>
      </x:c>
      <x:c r="C550" s="291" t="str">
        <x:f>IF('초등학교+병설유치원(8월)'!B44="","",'초등학교+병설유치원(8월)'!B44)</x:f>
        <x:v>익산가온초 병설유치원</x:v>
      </x:c>
      <x:c r="D550" s="293" t="n">
        <x:v>46252</x:v>
      </x:c>
      <x:c r="E550" s="294" t="n">
        <x:f>IF('초등학교+병설유치원(8월)'!BY44="",0,'초등학교+병설유치원(8월)'!BY44)</x:f>
        <x:v>10</x:v>
      </x:c>
      <x:c r="F550" s="294" t="n">
        <x:f>IF('초등학교+병설유치원(8월)'!BZ44="",0,'초등학교+병설유치원(8월)'!BZ44)</x:f>
        <x:v>0</x:v>
      </x:c>
      <x:c r="G550" s="294" t="n">
        <x:f>IF('초등학교+병설유치원(8월)'!CA44="",0,'초등학교+병설유치원(8월)'!CA44)</x:f>
        <x:v>0</x:v>
      </x:c>
      <x:c r="H550" s="294" t="n">
        <x:f>IF('초등학교+병설유치원(8월)'!CB44="",0,'초등학교+병설유치원(8월)'!CB44)</x:f>
        <x:v>0</x:v>
      </x:c>
      <x:c r="I550" s="294" t="n">
        <x:f>IF('초등학교+병설유치원(8월)'!CC44="",0,'초등학교+병설유치원(8월)'!CC44)</x:f>
        <x:v>0</x:v>
      </x:c>
      <x:c r="J550" s="296" t="n">
        <x:f>SUM(E550:I550)</x:f>
        <x:v>10</x:v>
      </x:c>
      <x:c r="K550" s="291" t="str">
        <x:v>8월</x:v>
      </x:c>
    </x:row>
    <x:row r="551">
      <x:c r="A551" s="291" t="str">
        <x:f>IF('초등학교+병설유치원(8월)'!A44="","",'초등학교+병설유치원(8월)'!A44)</x:f>
        <x:v>27-1</x:v>
      </x:c>
      <x:c r="B551" s="291" t="str">
        <x:v>병설유치원</x:v>
      </x:c>
      <x:c r="C551" s="291" t="str">
        <x:f>IF('초등학교+병설유치원(8월)'!B44="","",'초등학교+병설유치원(8월)'!B44)</x:f>
        <x:v>익산가온초 병설유치원</x:v>
      </x:c>
      <x:c r="D551" s="293" t="n">
        <x:v>46253</x:v>
      </x:c>
      <x:c r="E551" s="294" t="n">
        <x:f>IF('초등학교+병설유치원(8월)'!CE44="",0,'초등학교+병설유치원(8월)'!CE44)</x:f>
        <x:v>10</x:v>
      </x:c>
      <x:c r="F551" s="294" t="n">
        <x:f>IF('초등학교+병설유치원(8월)'!CF44="",0,'초등학교+병설유치원(8월)'!CF44)</x:f>
        <x:v>0</x:v>
      </x:c>
      <x:c r="G551" s="294" t="n">
        <x:f>IF('초등학교+병설유치원(8월)'!CG44="",0,'초등학교+병설유치원(8월)'!CG44)</x:f>
        <x:v>0</x:v>
      </x:c>
      <x:c r="H551" s="294" t="n">
        <x:f>IF('초등학교+병설유치원(8월)'!CH44="",0,'초등학교+병설유치원(8월)'!CH44)</x:f>
        <x:v>0</x:v>
      </x:c>
      <x:c r="I551" s="294" t="n">
        <x:f>IF('초등학교+병설유치원(8월)'!CI44="",0,'초등학교+병설유치원(8월)'!CI44)</x:f>
        <x:v>0</x:v>
      </x:c>
      <x:c r="J551" s="296" t="n">
        <x:f>SUM(E551:I551)</x:f>
        <x:v>10</x:v>
      </x:c>
      <x:c r="K551" s="291" t="str">
        <x:v>8월</x:v>
      </x:c>
    </x:row>
    <x:row r="552">
      <x:c r="A552" s="291" t="n">
        <x:f>IF('초등학교+병설유치원(8월)'!A45="","",'초등학교+병설유치원(8월)'!A45)</x:f>
        <x:v>28</x:v>
      </x:c>
      <x:c r="B552" s="291" t="str">
        <x:v>초등학교</x:v>
      </x:c>
      <x:c r="C552" s="291" t="str">
        <x:f>IF('초등학교+병설유치원(8월)'!B45="","",'초등학교+병설유치원(8월)'!B45)</x:f>
        <x:v>익산궁동초</x:v>
      </x:c>
      <x:c r="D552" s="293" t="n">
        <x:v>46237</x:v>
      </x:c>
      <x:c r="E552" s="294" t="n">
        <x:f>IF('초등학교+병설유치원(8월)'!Q45="",0,'초등학교+병설유치원(8월)'!Q45)</x:f>
        <x:v>20</x:v>
      </x:c>
      <x:c r="F552" s="294" t="n">
        <x:f>IF('초등학교+병설유치원(8월)'!R45="",0,'초등학교+병설유치원(8월)'!R45)</x:f>
        <x:v>21</x:v>
      </x:c>
      <x:c r="G552" s="294" t="n">
        <x:f>IF('초등학교+병설유치원(8월)'!S45="",0,'초등학교+병설유치원(8월)'!S45)</x:f>
        <x:v>0</x:v>
      </x:c>
      <x:c r="H552" s="294" t="n">
        <x:f>IF('초등학교+병설유치원(8월)'!T45="",0,'초등학교+병설유치원(8월)'!T45)</x:f>
        <x:v>0</x:v>
      </x:c>
      <x:c r="I552" s="294" t="n">
        <x:f>IF('초등학교+병설유치원(8월)'!U45="",0,'초등학교+병설유치원(8월)'!U45)</x:f>
        <x:v>11</x:v>
      </x:c>
      <x:c r="J552" s="296" t="n">
        <x:f>SUM(E552:I552)</x:f>
        <x:v>52</x:v>
      </x:c>
      <x:c r="K552" s="291" t="str">
        <x:v>8월</x:v>
      </x:c>
    </x:row>
    <x:row r="553">
      <x:c r="A553" s="291" t="n">
        <x:f>IF('초등학교+병설유치원(8월)'!A45="","",'초등학교+병설유치원(8월)'!A45)</x:f>
        <x:v>28</x:v>
      </x:c>
      <x:c r="B553" s="291" t="str">
        <x:v>초등학교</x:v>
      </x:c>
      <x:c r="C553" s="291" t="str">
        <x:f>IF('초등학교+병설유치원(8월)'!B45="","",'초등학교+병설유치원(8월)'!B45)</x:f>
        <x:v>익산궁동초</x:v>
      </x:c>
      <x:c r="D553" s="293" t="n">
        <x:v>46238</x:v>
      </x:c>
      <x:c r="E553" s="294" t="n">
        <x:f>IF('초등학교+병설유치원(8월)'!W45="",0,'초등학교+병설유치원(8월)'!W45)</x:f>
        <x:v>20</x:v>
      </x:c>
      <x:c r="F553" s="294" t="n">
        <x:f>IF('초등학교+병설유치원(8월)'!X45="",0,'초등학교+병설유치원(8월)'!X45)</x:f>
        <x:v>21</x:v>
      </x:c>
      <x:c r="G553" s="294" t="n">
        <x:f>IF('초등학교+병설유치원(8월)'!Y45="",0,'초등학교+병설유치원(8월)'!Y45)</x:f>
        <x:v>0</x:v>
      </x:c>
      <x:c r="H553" s="294" t="n">
        <x:f>IF('초등학교+병설유치원(8월)'!Z45="",0,'초등학교+병설유치원(8월)'!Z45)</x:f>
        <x:v>0</x:v>
      </x:c>
      <x:c r="I553" s="294" t="n">
        <x:f>IF('초등학교+병설유치원(8월)'!AA45="",0,'초등학교+병설유치원(8월)'!AA45)</x:f>
        <x:v>11</x:v>
      </x:c>
      <x:c r="J553" s="296" t="n">
        <x:f>SUM(E553:I553)</x:f>
        <x:v>52</x:v>
      </x:c>
      <x:c r="K553" s="291" t="str">
        <x:v>8월</x:v>
      </x:c>
    </x:row>
    <x:row r="554">
      <x:c r="A554" s="291" t="n">
        <x:f>IF('초등학교+병설유치원(8월)'!A45="","",'초등학교+병설유치원(8월)'!A45)</x:f>
        <x:v>28</x:v>
      </x:c>
      <x:c r="B554" s="291" t="str">
        <x:v>초등학교</x:v>
      </x:c>
      <x:c r="C554" s="291" t="str">
        <x:f>IF('초등학교+병설유치원(8월)'!B45="","",'초등학교+병설유치원(8월)'!B45)</x:f>
        <x:v>익산궁동초</x:v>
      </x:c>
      <x:c r="D554" s="293" t="n">
        <x:v>46239</x:v>
      </x:c>
      <x:c r="E554" s="294" t="n">
        <x:f>IF('초등학교+병설유치원(8월)'!AC45="",0,'초등학교+병설유치원(8월)'!AC45)</x:f>
        <x:v>20</x:v>
      </x:c>
      <x:c r="F554" s="294" t="n">
        <x:f>IF('초등학교+병설유치원(8월)'!AD45="",0,'초등학교+병설유치원(8월)'!AD45)</x:f>
        <x:v>21</x:v>
      </x:c>
      <x:c r="G554" s="294" t="n">
        <x:f>IF('초등학교+병설유치원(8월)'!AE45="",0,'초등학교+병설유치원(8월)'!AE45)</x:f>
        <x:v>0</x:v>
      </x:c>
      <x:c r="H554" s="294" t="n">
        <x:f>IF('초등학교+병설유치원(8월)'!AF45="",0,'초등학교+병설유치원(8월)'!AF45)</x:f>
        <x:v>0</x:v>
      </x:c>
      <x:c r="I554" s="294" t="n">
        <x:f>IF('초등학교+병설유치원(8월)'!AG45="",0,'초등학교+병설유치원(8월)'!AG45)</x:f>
        <x:v>11</x:v>
      </x:c>
      <x:c r="J554" s="296" t="n">
        <x:f>SUM(E554:I554)</x:f>
        <x:v>52</x:v>
      </x:c>
      <x:c r="K554" s="291" t="str">
        <x:v>8월</x:v>
      </x:c>
    </x:row>
    <x:row r="555">
      <x:c r="A555" s="291" t="n">
        <x:f>IF('초등학교+병설유치원(8월)'!A45="","",'초등학교+병설유치원(8월)'!A45)</x:f>
        <x:v>28</x:v>
      </x:c>
      <x:c r="B555" s="291" t="str">
        <x:v>초등학교</x:v>
      </x:c>
      <x:c r="C555" s="291" t="str">
        <x:f>IF('초등학교+병설유치원(8월)'!B45="","",'초등학교+병설유치원(8월)'!B45)</x:f>
        <x:v>익산궁동초</x:v>
      </x:c>
      <x:c r="D555" s="293" t="n">
        <x:v>46240</x:v>
      </x:c>
      <x:c r="E555" s="294" t="n">
        <x:f>IF('초등학교+병설유치원(8월)'!AI45="",0,'초등학교+병설유치원(8월)'!AI45)</x:f>
        <x:v>20</x:v>
      </x:c>
      <x:c r="F555" s="294" t="n">
        <x:f>IF('초등학교+병설유치원(8월)'!AJ45="",0,'초등학교+병설유치원(8월)'!AJ45)</x:f>
        <x:v>21</x:v>
      </x:c>
      <x:c r="G555" s="294" t="n">
        <x:f>IF('초등학교+병설유치원(8월)'!AK45="",0,'초등학교+병설유치원(8월)'!AK45)</x:f>
        <x:v>0</x:v>
      </x:c>
      <x:c r="H555" s="294" t="n">
        <x:f>IF('초등학교+병설유치원(8월)'!AL45="",0,'초등학교+병설유치원(8월)'!AL45)</x:f>
        <x:v>0</x:v>
      </x:c>
      <x:c r="I555" s="294" t="n">
        <x:f>IF('초등학교+병설유치원(8월)'!AM45="",0,'초등학교+병설유치원(8월)'!AM45)</x:f>
        <x:v>11</x:v>
      </x:c>
      <x:c r="J555" s="296" t="n">
        <x:f>SUM(E555:I555)</x:f>
        <x:v>52</x:v>
      </x:c>
      <x:c r="K555" s="291" t="str">
        <x:v>8월</x:v>
      </x:c>
    </x:row>
    <x:row r="556">
      <x:c r="A556" s="291" t="n">
        <x:f>IF('초등학교+병설유치원(8월)'!A45="","",'초등학교+병설유치원(8월)'!A45)</x:f>
        <x:v>28</x:v>
      </x:c>
      <x:c r="B556" s="291" t="str">
        <x:v>초등학교</x:v>
      </x:c>
      <x:c r="C556" s="291" t="str">
        <x:f>IF('초등학교+병설유치원(8월)'!B45="","",'초등학교+병설유치원(8월)'!B45)</x:f>
        <x:v>익산궁동초</x:v>
      </x:c>
      <x:c r="D556" s="293" t="n">
        <x:v>46241</x:v>
      </x:c>
      <x:c r="E556" s="294" t="n">
        <x:f>IF('초등학교+병설유치원(8월)'!AO45="",0,'초등학교+병설유치원(8월)'!AO45)</x:f>
        <x:v>20</x:v>
      </x:c>
      <x:c r="F556" s="294" t="n">
        <x:f>IF('초등학교+병설유치원(8월)'!AP45="",0,'초등학교+병설유치원(8월)'!AP45)</x:f>
        <x:v>21</x:v>
      </x:c>
      <x:c r="G556" s="294" t="n">
        <x:f>IF('초등학교+병설유치원(8월)'!AQ45="",0,'초등학교+병설유치원(8월)'!AQ45)</x:f>
        <x:v>0</x:v>
      </x:c>
      <x:c r="H556" s="294" t="n">
        <x:f>IF('초등학교+병설유치원(8월)'!AR45="",0,'초등학교+병설유치원(8월)'!AR45)</x:f>
        <x:v>0</x:v>
      </x:c>
      <x:c r="I556" s="294" t="n">
        <x:f>IF('초등학교+병설유치원(8월)'!AS45="",0,'초등학교+병설유치원(8월)'!AS45)</x:f>
        <x:v>11</x:v>
      </x:c>
      <x:c r="J556" s="296" t="n">
        <x:f>SUM(E556:I556)</x:f>
        <x:v>52</x:v>
      </x:c>
      <x:c r="K556" s="291" t="str">
        <x:v>8월</x:v>
      </x:c>
    </x:row>
    <x:row r="557">
      <x:c r="A557" s="291" t="n">
        <x:f>IF('초등학교+병설유치원(8월)'!A45="","",'초등학교+병설유치원(8월)'!A45)</x:f>
        <x:v>28</x:v>
      </x:c>
      <x:c r="B557" s="291" t="str">
        <x:v>초등학교</x:v>
      </x:c>
      <x:c r="C557" s="291" t="str">
        <x:f>IF('초등학교+병설유치원(8월)'!B45="","",'초등학교+병설유치원(8월)'!B45)</x:f>
        <x:v>익산궁동초</x:v>
      </x:c>
      <x:c r="D557" s="293" t="n">
        <x:v>46244</x:v>
      </x:c>
      <x:c r="E557" s="294" t="n">
        <x:f>IF('초등학교+병설유치원(8월)'!AU45="",0,'초등학교+병설유치원(8월)'!AU45)</x:f>
        <x:v>20</x:v>
      </x:c>
      <x:c r="F557" s="294" t="n">
        <x:f>IF('초등학교+병설유치원(8월)'!AV45="",0,'초등학교+병설유치원(8월)'!AV45)</x:f>
        <x:v>21</x:v>
      </x:c>
      <x:c r="G557" s="294" t="n">
        <x:f>IF('초등학교+병설유치원(8월)'!AW45="",0,'초등학교+병설유치원(8월)'!AW45)</x:f>
        <x:v>0</x:v>
      </x:c>
      <x:c r="H557" s="294" t="n">
        <x:f>IF('초등학교+병설유치원(8월)'!AX45="",0,'초등학교+병설유치원(8월)'!AX45)</x:f>
        <x:v>0</x:v>
      </x:c>
      <x:c r="I557" s="294" t="n">
        <x:f>IF('초등학교+병설유치원(8월)'!AY45="",0,'초등학교+병설유치원(8월)'!AY45)</x:f>
        <x:v>11</x:v>
      </x:c>
      <x:c r="J557" s="296" t="n">
        <x:f>SUM(E557:I557)</x:f>
        <x:v>52</x:v>
      </x:c>
      <x:c r="K557" s="291" t="str">
        <x:v>8월</x:v>
      </x:c>
    </x:row>
    <x:row r="558">
      <x:c r="A558" s="291" t="n">
        <x:f>IF('초등학교+병설유치원(8월)'!A45="","",'초등학교+병설유치원(8월)'!A45)</x:f>
        <x:v>28</x:v>
      </x:c>
      <x:c r="B558" s="291" t="str">
        <x:v>초등학교</x:v>
      </x:c>
      <x:c r="C558" s="291" t="str">
        <x:f>IF('초등학교+병설유치원(8월)'!B45="","",'초등학교+병설유치원(8월)'!B45)</x:f>
        <x:v>익산궁동초</x:v>
      </x:c>
      <x:c r="D558" s="293" t="n">
        <x:v>46245</x:v>
      </x:c>
      <x:c r="E558" s="294" t="n">
        <x:f>IF('초등학교+병설유치원(8월)'!BA45="",0,'초등학교+병설유치원(8월)'!BA45)</x:f>
        <x:v>20</x:v>
      </x:c>
      <x:c r="F558" s="294" t="n">
        <x:f>IF('초등학교+병설유치원(8월)'!BB45="",0,'초등학교+병설유치원(8월)'!BB45)</x:f>
        <x:v>21</x:v>
      </x:c>
      <x:c r="G558" s="294" t="n">
        <x:f>IF('초등학교+병설유치원(8월)'!BC45="",0,'초등학교+병설유치원(8월)'!BC45)</x:f>
        <x:v>0</x:v>
      </x:c>
      <x:c r="H558" s="294" t="n">
        <x:f>IF('초등학교+병설유치원(8월)'!BD45="",0,'초등학교+병설유치원(8월)'!BD45)</x:f>
        <x:v>0</x:v>
      </x:c>
      <x:c r="I558" s="294" t="n">
        <x:f>IF('초등학교+병설유치원(8월)'!BE45="",0,'초등학교+병설유치원(8월)'!BE45)</x:f>
        <x:v>11</x:v>
      </x:c>
      <x:c r="J558" s="296" t="n">
        <x:f>SUM(E558:I558)</x:f>
        <x:v>52</x:v>
      </x:c>
      <x:c r="K558" s="291" t="str">
        <x:v>8월</x:v>
      </x:c>
    </x:row>
    <x:row r="559">
      <x:c r="A559" s="291" t="n">
        <x:f>IF('초등학교+병설유치원(8월)'!A45="","",'초등학교+병설유치원(8월)'!A45)</x:f>
        <x:v>28</x:v>
      </x:c>
      <x:c r="B559" s="291" t="str">
        <x:v>초등학교</x:v>
      </x:c>
      <x:c r="C559" s="291" t="str">
        <x:f>IF('초등학교+병설유치원(8월)'!B45="","",'초등학교+병설유치원(8월)'!B45)</x:f>
        <x:v>익산궁동초</x:v>
      </x:c>
      <x:c r="D559" s="293" t="n">
        <x:v>46246</x:v>
      </x:c>
      <x:c r="E559" s="294" t="n">
        <x:f>IF('초등학교+병설유치원(8월)'!BG45="",0,'초등학교+병설유치원(8월)'!BG45)</x:f>
        <x:v>20</x:v>
      </x:c>
      <x:c r="F559" s="294" t="n">
        <x:f>IF('초등학교+병설유치원(8월)'!BH45="",0,'초등학교+병설유치원(8월)'!BH45)</x:f>
        <x:v>21</x:v>
      </x:c>
      <x:c r="G559" s="294" t="n">
        <x:f>IF('초등학교+병설유치원(8월)'!BI45="",0,'초등학교+병설유치원(8월)'!BI45)</x:f>
        <x:v>0</x:v>
      </x:c>
      <x:c r="H559" s="294" t="n">
        <x:f>IF('초등학교+병설유치원(8월)'!BJ45="",0,'초등학교+병설유치원(8월)'!BJ45)</x:f>
        <x:v>0</x:v>
      </x:c>
      <x:c r="I559" s="294" t="n">
        <x:f>IF('초등학교+병설유치원(8월)'!BK45="",0,'초등학교+병설유치원(8월)'!BK45)</x:f>
        <x:v>11</x:v>
      </x:c>
      <x:c r="J559" s="296" t="n">
        <x:f>SUM(E559:I559)</x:f>
        <x:v>52</x:v>
      </x:c>
      <x:c r="K559" s="291" t="str">
        <x:v>8월</x:v>
      </x:c>
    </x:row>
    <x:row r="560">
      <x:c r="A560" s="291" t="n">
        <x:f>IF('초등학교+병설유치원(8월)'!A45="","",'초등학교+병설유치원(8월)'!A45)</x:f>
        <x:v>28</x:v>
      </x:c>
      <x:c r="B560" s="291" t="str">
        <x:v>초등학교</x:v>
      </x:c>
      <x:c r="C560" s="291" t="str">
        <x:f>IF('초등학교+병설유치원(8월)'!B45="","",'초등학교+병설유치원(8월)'!B45)</x:f>
        <x:v>익산궁동초</x:v>
      </x:c>
      <x:c r="D560" s="293" t="n">
        <x:v>46247</x:v>
      </x:c>
      <x:c r="E560" s="294" t="n">
        <x:f>IF('초등학교+병설유치원(8월)'!BM45="",0,'초등학교+병설유치원(8월)'!BM45)</x:f>
        <x:v>20</x:v>
      </x:c>
      <x:c r="F560" s="294" t="n">
        <x:f>IF('초등학교+병설유치원(8월)'!BN45="",0,'초등학교+병설유치원(8월)'!BN45)</x:f>
        <x:v>21</x:v>
      </x:c>
      <x:c r="G560" s="294" t="n">
        <x:f>IF('초등학교+병설유치원(8월)'!BO45="",0,'초등학교+병설유치원(8월)'!BO45)</x:f>
        <x:v>0</x:v>
      </x:c>
      <x:c r="H560" s="294" t="n">
        <x:f>IF('초등학교+병설유치원(8월)'!BP45="",0,'초등학교+병설유치원(8월)'!BP45)</x:f>
        <x:v>0</x:v>
      </x:c>
      <x:c r="I560" s="294" t="n">
        <x:f>IF('초등학교+병설유치원(8월)'!BQ45="",0,'초등학교+병설유치원(8월)'!BQ45)</x:f>
        <x:v>11</x:v>
      </x:c>
      <x:c r="J560" s="296" t="n">
        <x:f>SUM(E560:I560)</x:f>
        <x:v>52</x:v>
      </x:c>
      <x:c r="K560" s="291" t="str">
        <x:v>8월</x:v>
      </x:c>
    </x:row>
    <x:row r="561">
      <x:c r="A561" s="291" t="n">
        <x:f>IF('초등학교+병설유치원(8월)'!A45="","",'초등학교+병설유치원(8월)'!A45)</x:f>
        <x:v>28</x:v>
      </x:c>
      <x:c r="B561" s="291" t="str">
        <x:v>초등학교</x:v>
      </x:c>
      <x:c r="C561" s="291" t="str">
        <x:f>IF('초등학교+병설유치원(8월)'!B45="","",'초등학교+병설유치원(8월)'!B45)</x:f>
        <x:v>익산궁동초</x:v>
      </x:c>
      <x:c r="D561" s="293" t="n">
        <x:v>46248</x:v>
      </x:c>
      <x:c r="E561" s="294" t="n">
        <x:f>IF('초등학교+병설유치원(8월)'!BS45="",0,'초등학교+병설유치원(8월)'!BS45)</x:f>
        <x:v>20</x:v>
      </x:c>
      <x:c r="F561" s="294" t="n">
        <x:f>IF('초등학교+병설유치원(8월)'!BT45="",0,'초등학교+병설유치원(8월)'!BT45)</x:f>
        <x:v>21</x:v>
      </x:c>
      <x:c r="G561" s="294" t="n">
        <x:f>IF('초등학교+병설유치원(8월)'!BU45="",0,'초등학교+병설유치원(8월)'!BU45)</x:f>
        <x:v>0</x:v>
      </x:c>
      <x:c r="H561" s="294" t="n">
        <x:f>IF('초등학교+병설유치원(8월)'!BV45="",0,'초등학교+병설유치원(8월)'!BV45)</x:f>
        <x:v>0</x:v>
      </x:c>
      <x:c r="I561" s="294" t="n">
        <x:f>IF('초등학교+병설유치원(8월)'!BW45="",0,'초등학교+병설유치원(8월)'!BW45)</x:f>
        <x:v>11</x:v>
      </x:c>
      <x:c r="J561" s="296" t="n">
        <x:f>SUM(E561:I561)</x:f>
        <x:v>52</x:v>
      </x:c>
      <x:c r="K561" s="291" t="str">
        <x:v>8월</x:v>
      </x:c>
    </x:row>
    <x:row r="562">
      <x:c r="A562" s="291" t="n">
        <x:f>IF('초등학교+병설유치원(8월)'!A45="","",'초등학교+병설유치원(8월)'!A45)</x:f>
        <x:v>28</x:v>
      </x:c>
      <x:c r="B562" s="291" t="str">
        <x:v>초등학교</x:v>
      </x:c>
      <x:c r="C562" s="291" t="str">
        <x:f>IF('초등학교+병설유치원(8월)'!B45="","",'초등학교+병설유치원(8월)'!B45)</x:f>
        <x:v>익산궁동초</x:v>
      </x:c>
      <x:c r="D562" s="293" t="n">
        <x:v>46252</x:v>
      </x:c>
      <x:c r="E562" s="294" t="n">
        <x:f>IF('초등학교+병설유치원(8월)'!BY45="",0,'초등학교+병설유치원(8월)'!BY45)</x:f>
        <x:v>20</x:v>
      </x:c>
      <x:c r="F562" s="294" t="n">
        <x:f>IF('초등학교+병설유치원(8월)'!BZ45="",0,'초등학교+병설유치원(8월)'!BZ45)</x:f>
        <x:v>21</x:v>
      </x:c>
      <x:c r="G562" s="294" t="n">
        <x:f>IF('초등학교+병설유치원(8월)'!CA45="",0,'초등학교+병설유치원(8월)'!CA45)</x:f>
        <x:v>0</x:v>
      </x:c>
      <x:c r="H562" s="294" t="n">
        <x:f>IF('초등학교+병설유치원(8월)'!CB45="",0,'초등학교+병설유치원(8월)'!CB45)</x:f>
        <x:v>0</x:v>
      </x:c>
      <x:c r="I562" s="294" t="n">
        <x:f>IF('초등학교+병설유치원(8월)'!CC45="",0,'초등학교+병설유치원(8월)'!CC45)</x:f>
        <x:v>11</x:v>
      </x:c>
      <x:c r="J562" s="296" t="n">
        <x:f>SUM(E562:I562)</x:f>
        <x:v>52</x:v>
      </x:c>
      <x:c r="K562" s="291" t="str">
        <x:v>8월</x:v>
      </x:c>
    </x:row>
    <x:row r="563">
      <x:c r="A563" s="291" t="n">
        <x:f>IF('초등학교+병설유치원(8월)'!A45="","",'초등학교+병설유치원(8월)'!A45)</x:f>
        <x:v>28</x:v>
      </x:c>
      <x:c r="B563" s="291" t="str">
        <x:v>초등학교</x:v>
      </x:c>
      <x:c r="C563" s="291" t="str">
        <x:f>IF('초등학교+병설유치원(8월)'!B45="","",'초등학교+병설유치원(8월)'!B45)</x:f>
        <x:v>익산궁동초</x:v>
      </x:c>
      <x:c r="D563" s="293" t="n">
        <x:v>46253</x:v>
      </x:c>
      <x:c r="E563" s="294" t="n">
        <x:f>IF('초등학교+병설유치원(8월)'!CE45="",0,'초등학교+병설유치원(8월)'!CE45)</x:f>
        <x:v>20</x:v>
      </x:c>
      <x:c r="F563" s="294" t="n">
        <x:f>IF('초등학교+병설유치원(8월)'!CF45="",0,'초등학교+병설유치원(8월)'!CF45)</x:f>
        <x:v>21</x:v>
      </x:c>
      <x:c r="G563" s="294" t="n">
        <x:f>IF('초등학교+병설유치원(8월)'!CG45="",0,'초등학교+병설유치원(8월)'!CG45)</x:f>
        <x:v>0</x:v>
      </x:c>
      <x:c r="H563" s="294" t="n">
        <x:f>IF('초등학교+병설유치원(8월)'!CH45="",0,'초등학교+병설유치원(8월)'!CH45)</x:f>
        <x:v>0</x:v>
      </x:c>
      <x:c r="I563" s="294" t="n">
        <x:f>IF('초등학교+병설유치원(8월)'!CI45="",0,'초등학교+병설유치원(8월)'!CI45)</x:f>
        <x:v>11</x:v>
      </x:c>
      <x:c r="J563" s="296" t="n">
        <x:f>SUM(E563:I563)</x:f>
        <x:v>52</x:v>
      </x:c>
      <x:c r="K563" s="291" t="str">
        <x:v>8월</x:v>
      </x:c>
    </x:row>
    <x:row r="564">
      <x:c r="A564" s="291" t="n">
        <x:f>IF('초등학교+병설유치원(8월)'!A45="","",'초등학교+병설유치원(8월)'!A45)</x:f>
        <x:v>28</x:v>
      </x:c>
      <x:c r="B564" s="291" t="str">
        <x:v>초등학교</x:v>
      </x:c>
      <x:c r="C564" s="291" t="str">
        <x:f>IF('초등학교+병설유치원(8월)'!B45="","",'초등학교+병설유치원(8월)'!B45)</x:f>
        <x:v>익산궁동초</x:v>
      </x:c>
      <x:c r="D564" s="293" t="n">
        <x:v>46254</x:v>
      </x:c>
      <x:c r="E564" s="294" t="n">
        <x:f>IF('초등학교+병설유치원(8월)'!CK45="",0,'초등학교+병설유치원(8월)'!CK45)</x:f>
        <x:v>20</x:v>
      </x:c>
      <x:c r="F564" s="294" t="n">
        <x:f>IF('초등학교+병설유치원(8월)'!CL45="",0,'초등학교+병설유치원(8월)'!CL45)</x:f>
        <x:v>21</x:v>
      </x:c>
      <x:c r="G564" s="294" t="n">
        <x:f>IF('초등학교+병설유치원(8월)'!CM45="",0,'초등학교+병설유치원(8월)'!CM45)</x:f>
        <x:v>0</x:v>
      </x:c>
      <x:c r="H564" s="294" t="n">
        <x:f>IF('초등학교+병설유치원(8월)'!CN45="",0,'초등학교+병설유치원(8월)'!CN45)</x:f>
        <x:v>0</x:v>
      </x:c>
      <x:c r="I564" s="294" t="n">
        <x:f>IF('초등학교+병설유치원(8월)'!CO45="",0,'초등학교+병설유치원(8월)'!CO45)</x:f>
        <x:v>11</x:v>
      </x:c>
      <x:c r="J564" s="296" t="n">
        <x:f>SUM(E564:I564)</x:f>
        <x:v>52</x:v>
      </x:c>
      <x:c r="K564" s="291" t="str">
        <x:v>8월</x:v>
      </x:c>
    </x:row>
    <x:row r="565">
      <x:c r="A565" s="291" t="n">
        <x:f>IF('초등학교+병설유치원(8월)'!A45="","",'초등학교+병설유치원(8월)'!A45)</x:f>
        <x:v>28</x:v>
      </x:c>
      <x:c r="B565" s="291" t="str">
        <x:v>초등학교</x:v>
      </x:c>
      <x:c r="C565" s="291" t="str">
        <x:f>IF('초등학교+병설유치원(8월)'!B45="","",'초등학교+병설유치원(8월)'!B45)</x:f>
        <x:v>익산궁동초</x:v>
      </x:c>
      <x:c r="D565" s="293" t="n">
        <x:v>46255</x:v>
      </x:c>
      <x:c r="E565" s="294" t="n">
        <x:f>IF('초등학교+병설유치원(8월)'!CQ45="",0,'초등학교+병설유치원(8월)'!CQ45)</x:f>
        <x:v>20</x:v>
      </x:c>
      <x:c r="F565" s="294" t="n">
        <x:f>IF('초등학교+병설유치원(8월)'!CR45="",0,'초등학교+병설유치원(8월)'!CR45)</x:f>
        <x:v>21</x:v>
      </x:c>
      <x:c r="G565" s="294" t="n">
        <x:f>IF('초등학교+병설유치원(8월)'!CS45="",0,'초등학교+병설유치원(8월)'!CS45)</x:f>
        <x:v>0</x:v>
      </x:c>
      <x:c r="H565" s="294" t="n">
        <x:f>IF('초등학교+병설유치원(8월)'!CT45="",0,'초등학교+병설유치원(8월)'!CT45)</x:f>
        <x:v>0</x:v>
      </x:c>
      <x:c r="I565" s="294" t="n">
        <x:f>IF('초등학교+병설유치원(8월)'!CU45="",0,'초등학교+병설유치원(8월)'!CU45)</x:f>
        <x:v>11</x:v>
      </x:c>
      <x:c r="J565" s="296" t="n">
        <x:f>SUM(E565:I565)</x:f>
        <x:v>52</x:v>
      </x:c>
      <x:c r="K565" s="291" t="str">
        <x:v>8월</x:v>
      </x:c>
    </x:row>
    <x:row r="566">
      <x:c r="A566" s="291" t="n">
        <x:f>IF('초등학교+병설유치원(8월)'!A45="","",'초등학교+병설유치원(8월)'!A45)</x:f>
        <x:v>28</x:v>
      </x:c>
      <x:c r="B566" s="291" t="str">
        <x:v>초등학교</x:v>
      </x:c>
      <x:c r="C566" s="291" t="str">
        <x:f>IF('초등학교+병설유치원(8월)'!B45="","",'초등학교+병설유치원(8월)'!B45)</x:f>
        <x:v>익산궁동초</x:v>
      </x:c>
      <x:c r="D566" s="293" t="n">
        <x:v>46258</x:v>
      </x:c>
      <x:c r="E566" s="294" t="n">
        <x:f>IF('초등학교+병설유치원(8월)'!CW45="",0,'초등학교+병설유치원(8월)'!CW45)</x:f>
        <x:v>20</x:v>
      </x:c>
      <x:c r="F566" s="294" t="n">
        <x:f>IF('초등학교+병설유치원(8월)'!CX45="",0,'초등학교+병설유치원(8월)'!CX45)</x:f>
        <x:v>21</x:v>
      </x:c>
      <x:c r="G566" s="294" t="n">
        <x:f>IF('초등학교+병설유치원(8월)'!CY45="",0,'초등학교+병설유치원(8월)'!CY45)</x:f>
        <x:v>0</x:v>
      </x:c>
      <x:c r="H566" s="294" t="n">
        <x:f>IF('초등학교+병설유치원(8월)'!CZ45="",0,'초등학교+병설유치원(8월)'!CZ45)</x:f>
        <x:v>0</x:v>
      </x:c>
      <x:c r="I566" s="294" t="n">
        <x:f>IF('초등학교+병설유치원(8월)'!DA45="",0,'초등학교+병설유치원(8월)'!DA45)</x:f>
        <x:v>11</x:v>
      </x:c>
      <x:c r="J566" s="296" t="n">
        <x:f>SUM(E566:I566)</x:f>
        <x:v>52</x:v>
      </x:c>
      <x:c r="K566" s="291" t="str">
        <x:v>8월</x:v>
      </x:c>
    </x:row>
    <x:row r="567">
      <x:c r="A567" s="291" t="n">
        <x:f>IF('초등학교+병설유치원(8월)'!A46="","",'초등학교+병설유치원(8월)'!A46)</x:f>
        <x:v>29</x:v>
      </x:c>
      <x:c r="B567" s="291" t="str">
        <x:v>초등학교</x:v>
      </x:c>
      <x:c r="C567" s="291" t="str">
        <x:f>IF('초등학교+병설유치원(8월)'!B46="","",'초등학교+병설유치원(8월)'!B46)</x:f>
        <x:v>익산어양초</x:v>
      </x:c>
      <x:c r="D567" s="293" t="n">
        <x:v>46237</x:v>
      </x:c>
      <x:c r="E567" s="294" t="n">
        <x:f>IF('초등학교+병설유치원(8월)'!Q46="",0,'초등학교+병설유치원(8월)'!Q46)</x:f>
        <x:v>23</x:v>
      </x:c>
      <x:c r="F567" s="294" t="n">
        <x:f>IF('초등학교+병설유치원(8월)'!R46="",0,'초등학교+병설유치원(8월)'!R46)</x:f>
        <x:v>22</x:v>
      </x:c>
      <x:c r="G567" s="294" t="n">
        <x:f>IF('초등학교+병설유치원(8월)'!S46="",0,'초등학교+병설유치원(8월)'!S46)</x:f>
        <x:v>0</x:v>
      </x:c>
      <x:c r="H567" s="294" t="n">
        <x:f>IF('초등학교+병설유치원(8월)'!T46="",0,'초등학교+병설유치원(8월)'!T46)</x:f>
        <x:v>0</x:v>
      </x:c>
      <x:c r="I567" s="294" t="n">
        <x:f>IF('초등학교+병설유치원(8월)'!U46="",0,'초등학교+병설유치원(8월)'!U46)</x:f>
        <x:v>0</x:v>
      </x:c>
      <x:c r="J567" s="296" t="n">
        <x:f>SUM(E567:I567)</x:f>
        <x:v>45</x:v>
      </x:c>
      <x:c r="K567" s="291" t="str">
        <x:v>8월</x:v>
      </x:c>
    </x:row>
    <x:row r="568">
      <x:c r="A568" s="291" t="n">
        <x:f>IF('초등학교+병설유치원(8월)'!A46="","",'초등학교+병설유치원(8월)'!A46)</x:f>
        <x:v>29</x:v>
      </x:c>
      <x:c r="B568" s="291" t="str">
        <x:v>초등학교</x:v>
      </x:c>
      <x:c r="C568" s="291" t="str">
        <x:f>IF('초등학교+병설유치원(8월)'!B46="","",'초등학교+병설유치원(8월)'!B46)</x:f>
        <x:v>익산어양초</x:v>
      </x:c>
      <x:c r="D568" s="293" t="n">
        <x:v>46238</x:v>
      </x:c>
      <x:c r="E568" s="294" t="n">
        <x:f>IF('초등학교+병설유치원(8월)'!W46="",0,'초등학교+병설유치원(8월)'!W46)</x:f>
        <x:v>23</x:v>
      </x:c>
      <x:c r="F568" s="294" t="n">
        <x:f>IF('초등학교+병설유치원(8월)'!X46="",0,'초등학교+병설유치원(8월)'!X46)</x:f>
        <x:v>22</x:v>
      </x:c>
      <x:c r="G568" s="294" t="n">
        <x:f>IF('초등학교+병설유치원(8월)'!Y46="",0,'초등학교+병설유치원(8월)'!Y46)</x:f>
        <x:v>0</x:v>
      </x:c>
      <x:c r="H568" s="294" t="n">
        <x:f>IF('초등학교+병설유치원(8월)'!Z46="",0,'초등학교+병설유치원(8월)'!Z46)</x:f>
        <x:v>0</x:v>
      </x:c>
      <x:c r="I568" s="294" t="n">
        <x:f>IF('초등학교+병설유치원(8월)'!AA46="",0,'초등학교+병설유치원(8월)'!AA46)</x:f>
        <x:v>0</x:v>
      </x:c>
      <x:c r="J568" s="296" t="n">
        <x:f>SUM(E568:I568)</x:f>
        <x:v>45</x:v>
      </x:c>
      <x:c r="K568" s="291" t="str">
        <x:v>8월</x:v>
      </x:c>
    </x:row>
    <x:row r="569">
      <x:c r="A569" s="291" t="n">
        <x:f>IF('초등학교+병설유치원(8월)'!A46="","",'초등학교+병설유치원(8월)'!A46)</x:f>
        <x:v>29</x:v>
      </x:c>
      <x:c r="B569" s="291" t="str">
        <x:v>초등학교</x:v>
      </x:c>
      <x:c r="C569" s="291" t="str">
        <x:f>IF('초등학교+병설유치원(8월)'!B46="","",'초등학교+병설유치원(8월)'!B46)</x:f>
        <x:v>익산어양초</x:v>
      </x:c>
      <x:c r="D569" s="293" t="n">
        <x:v>46239</x:v>
      </x:c>
      <x:c r="E569" s="294" t="n">
        <x:f>IF('초등학교+병설유치원(8월)'!AC46="",0,'초등학교+병설유치원(8월)'!AC46)</x:f>
        <x:v>23</x:v>
      </x:c>
      <x:c r="F569" s="294" t="n">
        <x:f>IF('초등학교+병설유치원(8월)'!AD46="",0,'초등학교+병설유치원(8월)'!AD46)</x:f>
        <x:v>22</x:v>
      </x:c>
      <x:c r="G569" s="294" t="n">
        <x:f>IF('초등학교+병설유치원(8월)'!AE46="",0,'초등학교+병설유치원(8월)'!AE46)</x:f>
        <x:v>0</x:v>
      </x:c>
      <x:c r="H569" s="294" t="n">
        <x:f>IF('초등학교+병설유치원(8월)'!AF46="",0,'초등학교+병설유치원(8월)'!AF46)</x:f>
        <x:v>0</x:v>
      </x:c>
      <x:c r="I569" s="294" t="n">
        <x:f>IF('초등학교+병설유치원(8월)'!AG46="",0,'초등학교+병설유치원(8월)'!AG46)</x:f>
        <x:v>0</x:v>
      </x:c>
      <x:c r="J569" s="296" t="n">
        <x:f>SUM(E569:I569)</x:f>
        <x:v>45</x:v>
      </x:c>
      <x:c r="K569" s="291" t="str">
        <x:v>8월</x:v>
      </x:c>
    </x:row>
    <x:row r="570">
      <x:c r="A570" s="291" t="n">
        <x:f>IF('초등학교+병설유치원(8월)'!A46="","",'초등학교+병설유치원(8월)'!A46)</x:f>
        <x:v>29</x:v>
      </x:c>
      <x:c r="B570" s="291" t="str">
        <x:v>초등학교</x:v>
      </x:c>
      <x:c r="C570" s="291" t="str">
        <x:f>IF('초등학교+병설유치원(8월)'!B46="","",'초등학교+병설유치원(8월)'!B46)</x:f>
        <x:v>익산어양초</x:v>
      </x:c>
      <x:c r="D570" s="293" t="n">
        <x:v>46240</x:v>
      </x:c>
      <x:c r="E570" s="294" t="n">
        <x:f>IF('초등학교+병설유치원(8월)'!AI46="",0,'초등학교+병설유치원(8월)'!AI46)</x:f>
        <x:v>23</x:v>
      </x:c>
      <x:c r="F570" s="294" t="n">
        <x:f>IF('초등학교+병설유치원(8월)'!AJ46="",0,'초등학교+병설유치원(8월)'!AJ46)</x:f>
        <x:v>22</x:v>
      </x:c>
      <x:c r="G570" s="294" t="n">
        <x:f>IF('초등학교+병설유치원(8월)'!AK46="",0,'초등학교+병설유치원(8월)'!AK46)</x:f>
        <x:v>0</x:v>
      </x:c>
      <x:c r="H570" s="294" t="n">
        <x:f>IF('초등학교+병설유치원(8월)'!AL46="",0,'초등학교+병설유치원(8월)'!AL46)</x:f>
        <x:v>0</x:v>
      </x:c>
      <x:c r="I570" s="294" t="n">
        <x:f>IF('초등학교+병설유치원(8월)'!AM46="",0,'초등학교+병설유치원(8월)'!AM46)</x:f>
        <x:v>0</x:v>
      </x:c>
      <x:c r="J570" s="296" t="n">
        <x:f>SUM(E570:I570)</x:f>
        <x:v>45</x:v>
      </x:c>
      <x:c r="K570" s="291" t="str">
        <x:v>8월</x:v>
      </x:c>
    </x:row>
    <x:row r="571">
      <x:c r="A571" s="291" t="n">
        <x:f>IF('초등학교+병설유치원(8월)'!A46="","",'초등학교+병설유치원(8월)'!A46)</x:f>
        <x:v>29</x:v>
      </x:c>
      <x:c r="B571" s="291" t="str">
        <x:v>초등학교</x:v>
      </x:c>
      <x:c r="C571" s="291" t="str">
        <x:f>IF('초등학교+병설유치원(8월)'!B46="","",'초등학교+병설유치원(8월)'!B46)</x:f>
        <x:v>익산어양초</x:v>
      </x:c>
      <x:c r="D571" s="293" t="n">
        <x:v>46241</x:v>
      </x:c>
      <x:c r="E571" s="294" t="n">
        <x:f>IF('초등학교+병설유치원(8월)'!AO46="",0,'초등학교+병설유치원(8월)'!AO46)</x:f>
        <x:v>23</x:v>
      </x:c>
      <x:c r="F571" s="294" t="n">
        <x:f>IF('초등학교+병설유치원(8월)'!AP46="",0,'초등학교+병설유치원(8월)'!AP46)</x:f>
        <x:v>22</x:v>
      </x:c>
      <x:c r="G571" s="294" t="n">
        <x:f>IF('초등학교+병설유치원(8월)'!AQ46="",0,'초등학교+병설유치원(8월)'!AQ46)</x:f>
        <x:v>0</x:v>
      </x:c>
      <x:c r="H571" s="294" t="n">
        <x:f>IF('초등학교+병설유치원(8월)'!AR46="",0,'초등학교+병설유치원(8월)'!AR46)</x:f>
        <x:v>0</x:v>
      </x:c>
      <x:c r="I571" s="294" t="n">
        <x:f>IF('초등학교+병설유치원(8월)'!AS46="",0,'초등학교+병설유치원(8월)'!AS46)</x:f>
        <x:v>0</x:v>
      </x:c>
      <x:c r="J571" s="296" t="n">
        <x:f>SUM(E571:I571)</x:f>
        <x:v>45</x:v>
      </x:c>
      <x:c r="K571" s="291" t="str">
        <x:v>8월</x:v>
      </x:c>
    </x:row>
    <x:row r="572">
      <x:c r="A572" s="291" t="n">
        <x:f>IF('초등학교+병설유치원(8월)'!A46="","",'초등학교+병설유치원(8월)'!A46)</x:f>
        <x:v>29</x:v>
      </x:c>
      <x:c r="B572" s="291" t="str">
        <x:v>초등학교</x:v>
      </x:c>
      <x:c r="C572" s="291" t="str">
        <x:f>IF('초등학교+병설유치원(8월)'!B46="","",'초등학교+병설유치원(8월)'!B46)</x:f>
        <x:v>익산어양초</x:v>
      </x:c>
      <x:c r="D572" s="293" t="n">
        <x:v>46244</x:v>
      </x:c>
      <x:c r="E572" s="294" t="n">
        <x:f>IF('초등학교+병설유치원(8월)'!AU46="",0,'초등학교+병설유치원(8월)'!AU46)</x:f>
        <x:v>23</x:v>
      </x:c>
      <x:c r="F572" s="294" t="n">
        <x:f>IF('초등학교+병설유치원(8월)'!AV46="",0,'초등학교+병설유치원(8월)'!AV46)</x:f>
        <x:v>22</x:v>
      </x:c>
      <x:c r="G572" s="294" t="n">
        <x:f>IF('초등학교+병설유치원(8월)'!AW46="",0,'초등학교+병설유치원(8월)'!AW46)</x:f>
        <x:v>0</x:v>
      </x:c>
      <x:c r="H572" s="294" t="n">
        <x:f>IF('초등학교+병설유치원(8월)'!AX46="",0,'초등학교+병설유치원(8월)'!AX46)</x:f>
        <x:v>0</x:v>
      </x:c>
      <x:c r="I572" s="294" t="n">
        <x:f>IF('초등학교+병설유치원(8월)'!AY46="",0,'초등학교+병설유치원(8월)'!AY46)</x:f>
        <x:v>0</x:v>
      </x:c>
      <x:c r="J572" s="296" t="n">
        <x:f>SUM(E572:I572)</x:f>
        <x:v>45</x:v>
      </x:c>
      <x:c r="K572" s="291" t="str">
        <x:v>8월</x:v>
      </x:c>
    </x:row>
    <x:row r="573">
      <x:c r="A573" s="291" t="n">
        <x:f>IF('초등학교+병설유치원(8월)'!A46="","",'초등학교+병설유치원(8월)'!A46)</x:f>
        <x:v>29</x:v>
      </x:c>
      <x:c r="B573" s="291" t="str">
        <x:v>초등학교</x:v>
      </x:c>
      <x:c r="C573" s="291" t="str">
        <x:f>IF('초등학교+병설유치원(8월)'!B46="","",'초등학교+병설유치원(8월)'!B46)</x:f>
        <x:v>익산어양초</x:v>
      </x:c>
      <x:c r="D573" s="293" t="n">
        <x:v>46245</x:v>
      </x:c>
      <x:c r="E573" s="294" t="n">
        <x:f>IF('초등학교+병설유치원(8월)'!BA46="",0,'초등학교+병설유치원(8월)'!BA46)</x:f>
        <x:v>23</x:v>
      </x:c>
      <x:c r="F573" s="294" t="n">
        <x:f>IF('초등학교+병설유치원(8월)'!BB46="",0,'초등학교+병설유치원(8월)'!BB46)</x:f>
        <x:v>22</x:v>
      </x:c>
      <x:c r="G573" s="294" t="n">
        <x:f>IF('초등학교+병설유치원(8월)'!BC46="",0,'초등학교+병설유치원(8월)'!BC46)</x:f>
        <x:v>0</x:v>
      </x:c>
      <x:c r="H573" s="294" t="n">
        <x:f>IF('초등학교+병설유치원(8월)'!BD46="",0,'초등학교+병설유치원(8월)'!BD46)</x:f>
        <x:v>0</x:v>
      </x:c>
      <x:c r="I573" s="294" t="n">
        <x:f>IF('초등학교+병설유치원(8월)'!BE46="",0,'초등학교+병설유치원(8월)'!BE46)</x:f>
        <x:v>0</x:v>
      </x:c>
      <x:c r="J573" s="296" t="n">
        <x:f>SUM(E573:I573)</x:f>
        <x:v>45</x:v>
      </x:c>
      <x:c r="K573" s="291" t="str">
        <x:v>8월</x:v>
      </x:c>
    </x:row>
    <x:row r="574">
      <x:c r="A574" s="291" t="n">
        <x:f>IF('초등학교+병설유치원(8월)'!A46="","",'초등학교+병설유치원(8월)'!A46)</x:f>
        <x:v>29</x:v>
      </x:c>
      <x:c r="B574" s="291" t="str">
        <x:v>초등학교</x:v>
      </x:c>
      <x:c r="C574" s="291" t="str">
        <x:f>IF('초등학교+병설유치원(8월)'!B46="","",'초등학교+병설유치원(8월)'!B46)</x:f>
        <x:v>익산어양초</x:v>
      </x:c>
      <x:c r="D574" s="293" t="n">
        <x:v>46246</x:v>
      </x:c>
      <x:c r="E574" s="294" t="n">
        <x:f>IF('초등학교+병설유치원(8월)'!BG46="",0,'초등학교+병설유치원(8월)'!BG46)</x:f>
        <x:v>23</x:v>
      </x:c>
      <x:c r="F574" s="294" t="n">
        <x:f>IF('초등학교+병설유치원(8월)'!BH46="",0,'초등학교+병설유치원(8월)'!BH46)</x:f>
        <x:v>22</x:v>
      </x:c>
      <x:c r="G574" s="294" t="n">
        <x:f>IF('초등학교+병설유치원(8월)'!BI46="",0,'초등학교+병설유치원(8월)'!BI46)</x:f>
        <x:v>0</x:v>
      </x:c>
      <x:c r="H574" s="294" t="n">
        <x:f>IF('초등학교+병설유치원(8월)'!BJ46="",0,'초등학교+병설유치원(8월)'!BJ46)</x:f>
        <x:v>0</x:v>
      </x:c>
      <x:c r="I574" s="294" t="n">
        <x:f>IF('초등학교+병설유치원(8월)'!BK46="",0,'초등학교+병설유치원(8월)'!BK46)</x:f>
        <x:v>0</x:v>
      </x:c>
      <x:c r="J574" s="296" t="n">
        <x:f>SUM(E574:I574)</x:f>
        <x:v>45</x:v>
      </x:c>
      <x:c r="K574" s="291" t="str">
        <x:v>8월</x:v>
      </x:c>
    </x:row>
    <x:row r="575">
      <x:c r="A575" s="291" t="n">
        <x:f>IF('초등학교+병설유치원(8월)'!A46="","",'초등학교+병설유치원(8월)'!A46)</x:f>
        <x:v>29</x:v>
      </x:c>
      <x:c r="B575" s="291" t="str">
        <x:v>초등학교</x:v>
      </x:c>
      <x:c r="C575" s="291" t="str">
        <x:f>IF('초등학교+병설유치원(8월)'!B46="","",'초등학교+병설유치원(8월)'!B46)</x:f>
        <x:v>익산어양초</x:v>
      </x:c>
      <x:c r="D575" s="293" t="n">
        <x:v>46247</x:v>
      </x:c>
      <x:c r="E575" s="294" t="n">
        <x:f>IF('초등학교+병설유치원(8월)'!BM46="",0,'초등학교+병설유치원(8월)'!BM46)</x:f>
        <x:v>23</x:v>
      </x:c>
      <x:c r="F575" s="294" t="n">
        <x:f>IF('초등학교+병설유치원(8월)'!BN46="",0,'초등학교+병설유치원(8월)'!BN46)</x:f>
        <x:v>22</x:v>
      </x:c>
      <x:c r="G575" s="294" t="n">
        <x:f>IF('초등학교+병설유치원(8월)'!BO46="",0,'초등학교+병설유치원(8월)'!BO46)</x:f>
        <x:v>0</x:v>
      </x:c>
      <x:c r="H575" s="294" t="n">
        <x:f>IF('초등학교+병설유치원(8월)'!BP46="",0,'초등학교+병설유치원(8월)'!BP46)</x:f>
        <x:v>0</x:v>
      </x:c>
      <x:c r="I575" s="294" t="n">
        <x:f>IF('초등학교+병설유치원(8월)'!BQ46="",0,'초등학교+병설유치원(8월)'!BQ46)</x:f>
        <x:v>0</x:v>
      </x:c>
      <x:c r="J575" s="296" t="n">
        <x:f>SUM(E575:I575)</x:f>
        <x:v>45</x:v>
      </x:c>
      <x:c r="K575" s="291" t="str">
        <x:v>8월</x:v>
      </x:c>
    </x:row>
    <x:row r="576">
      <x:c r="A576" s="291" t="n">
        <x:f>IF('초등학교+병설유치원(8월)'!A47="","",'초등학교+병설유치원(8월)'!A47)</x:f>
        <x:v>30</x:v>
      </x:c>
      <x:c r="B576" s="291" t="str">
        <x:v>초등학교</x:v>
      </x:c>
      <x:c r="C576" s="291" t="str">
        <x:f>IF('초등학교+병설유치원(8월)'!B47="","",'초등학교+병설유치원(8월)'!B47)</x:f>
        <x:v>익산옥야초</x:v>
      </x:c>
      <x:c r="D576" s="293" t="n">
        <x:v>46237</x:v>
      </x:c>
      <x:c r="E576" s="294" t="n">
        <x:f>IF('초등학교+병설유치원(8월)'!Q47="",0,'초등학교+병설유치원(8월)'!Q47)</x:f>
        <x:v>13</x:v>
      </x:c>
      <x:c r="F576" s="294" t="n">
        <x:f>IF('초등학교+병설유치원(8월)'!R47="",0,'초등학교+병설유치원(8월)'!R47)</x:f>
        <x:v>0</x:v>
      </x:c>
      <x:c r="G576" s="294" t="n">
        <x:f>IF('초등학교+병설유치원(8월)'!S47="",0,'초등학교+병설유치원(8월)'!S47)</x:f>
        <x:v>0</x:v>
      </x:c>
      <x:c r="H576" s="294" t="n">
        <x:f>IF('초등학교+병설유치원(8월)'!T47="",0,'초등학교+병설유치원(8월)'!T47)</x:f>
        <x:v>0</x:v>
      </x:c>
      <x:c r="I576" s="294" t="n">
        <x:f>IF('초등학교+병설유치원(8월)'!U47="",0,'초등학교+병설유치원(8월)'!U47)</x:f>
        <x:v>0</x:v>
      </x:c>
      <x:c r="J576" s="296" t="n">
        <x:f>SUM(E576:I576)</x:f>
        <x:v>13</x:v>
      </x:c>
      <x:c r="K576" s="291" t="str">
        <x:v>8월</x:v>
      </x:c>
    </x:row>
    <x:row r="577">
      <x:c r="A577" s="291" t="n">
        <x:f>IF('초등학교+병설유치원(8월)'!A47="","",'초등학교+병설유치원(8월)'!A47)</x:f>
        <x:v>30</x:v>
      </x:c>
      <x:c r="B577" s="291" t="str">
        <x:v>초등학교</x:v>
      </x:c>
      <x:c r="C577" s="291" t="str">
        <x:f>IF('초등학교+병설유치원(8월)'!B47="","",'초등학교+병설유치원(8월)'!B47)</x:f>
        <x:v>익산옥야초</x:v>
      </x:c>
      <x:c r="D577" s="293" t="n">
        <x:v>46238</x:v>
      </x:c>
      <x:c r="E577" s="294" t="n">
        <x:f>IF('초등학교+병설유치원(8월)'!W47="",0,'초등학교+병설유치원(8월)'!W47)</x:f>
        <x:v>13</x:v>
      </x:c>
      <x:c r="F577" s="294" t="n">
        <x:f>IF('초등학교+병설유치원(8월)'!X47="",0,'초등학교+병설유치원(8월)'!X47)</x:f>
        <x:v>0</x:v>
      </x:c>
      <x:c r="G577" s="294" t="n">
        <x:f>IF('초등학교+병설유치원(8월)'!Y47="",0,'초등학교+병설유치원(8월)'!Y47)</x:f>
        <x:v>0</x:v>
      </x:c>
      <x:c r="H577" s="294" t="n">
        <x:f>IF('초등학교+병설유치원(8월)'!Z47="",0,'초등학교+병설유치원(8월)'!Z47)</x:f>
        <x:v>0</x:v>
      </x:c>
      <x:c r="I577" s="294" t="n">
        <x:f>IF('초등학교+병설유치원(8월)'!AA47="",0,'초등학교+병설유치원(8월)'!AA47)</x:f>
        <x:v>0</x:v>
      </x:c>
      <x:c r="J577" s="296" t="n">
        <x:f>SUM(E577:I577)</x:f>
        <x:v>13</x:v>
      </x:c>
      <x:c r="K577" s="291" t="str">
        <x:v>8월</x:v>
      </x:c>
    </x:row>
    <x:row r="578">
      <x:c r="A578" s="291" t="n">
        <x:f>IF('초등학교+병설유치원(8월)'!A47="","",'초등학교+병설유치원(8월)'!A47)</x:f>
        <x:v>30</x:v>
      </x:c>
      <x:c r="B578" s="291" t="str">
        <x:v>초등학교</x:v>
      </x:c>
      <x:c r="C578" s="291" t="str">
        <x:f>IF('초등학교+병설유치원(8월)'!B47="","",'초등학교+병설유치원(8월)'!B47)</x:f>
        <x:v>익산옥야초</x:v>
      </x:c>
      <x:c r="D578" s="293" t="n">
        <x:v>46239</x:v>
      </x:c>
      <x:c r="E578" s="294" t="n">
        <x:f>IF('초등학교+병설유치원(8월)'!AC47="",0,'초등학교+병설유치원(8월)'!AC47)</x:f>
        <x:v>13</x:v>
      </x:c>
      <x:c r="F578" s="294" t="n">
        <x:f>IF('초등학교+병설유치원(8월)'!AD47="",0,'초등학교+병설유치원(8월)'!AD47)</x:f>
        <x:v>0</x:v>
      </x:c>
      <x:c r="G578" s="294" t="n">
        <x:f>IF('초등학교+병설유치원(8월)'!AE47="",0,'초등학교+병설유치원(8월)'!AE47)</x:f>
        <x:v>0</x:v>
      </x:c>
      <x:c r="H578" s="294" t="n">
        <x:f>IF('초등학교+병설유치원(8월)'!AF47="",0,'초등학교+병설유치원(8월)'!AF47)</x:f>
        <x:v>0</x:v>
      </x:c>
      <x:c r="I578" s="294" t="n">
        <x:f>IF('초등학교+병설유치원(8월)'!AG47="",0,'초등학교+병설유치원(8월)'!AG47)</x:f>
        <x:v>0</x:v>
      </x:c>
      <x:c r="J578" s="296" t="n">
        <x:f>SUM(E578:I578)</x:f>
        <x:v>13</x:v>
      </x:c>
      <x:c r="K578" s="291" t="str">
        <x:v>8월</x:v>
      </x:c>
    </x:row>
    <x:row r="579">
      <x:c r="A579" s="291" t="n">
        <x:f>IF('초등학교+병설유치원(8월)'!A47="","",'초등학교+병설유치원(8월)'!A47)</x:f>
        <x:v>30</x:v>
      </x:c>
      <x:c r="B579" s="291" t="str">
        <x:v>초등학교</x:v>
      </x:c>
      <x:c r="C579" s="291" t="str">
        <x:f>IF('초등학교+병설유치원(8월)'!B47="","",'초등학교+병설유치원(8월)'!B47)</x:f>
        <x:v>익산옥야초</x:v>
      </x:c>
      <x:c r="D579" s="293" t="n">
        <x:v>46240</x:v>
      </x:c>
      <x:c r="E579" s="294" t="n">
        <x:f>IF('초등학교+병설유치원(8월)'!AI47="",0,'초등학교+병설유치원(8월)'!AI47)</x:f>
        <x:v>13</x:v>
      </x:c>
      <x:c r="F579" s="294" t="n">
        <x:f>IF('초등학교+병설유치원(8월)'!AJ47="",0,'초등학교+병설유치원(8월)'!AJ47)</x:f>
        <x:v>0</x:v>
      </x:c>
      <x:c r="G579" s="294" t="n">
        <x:f>IF('초등학교+병설유치원(8월)'!AK47="",0,'초등학교+병설유치원(8월)'!AK47)</x:f>
        <x:v>0</x:v>
      </x:c>
      <x:c r="H579" s="294" t="n">
        <x:f>IF('초등학교+병설유치원(8월)'!AL47="",0,'초등학교+병설유치원(8월)'!AL47)</x:f>
        <x:v>0</x:v>
      </x:c>
      <x:c r="I579" s="294" t="n">
        <x:f>IF('초등학교+병설유치원(8월)'!AM47="",0,'초등학교+병설유치원(8월)'!AM47)</x:f>
        <x:v>0</x:v>
      </x:c>
      <x:c r="J579" s="296" t="n">
        <x:f>SUM(E579:I579)</x:f>
        <x:v>13</x:v>
      </x:c>
      <x:c r="K579" s="291" t="str">
        <x:v>8월</x:v>
      </x:c>
    </x:row>
    <x:row r="580">
      <x:c r="A580" s="291" t="n">
        <x:f>IF('초등학교+병설유치원(8월)'!A47="","",'초등학교+병설유치원(8월)'!A47)</x:f>
        <x:v>30</x:v>
      </x:c>
      <x:c r="B580" s="291" t="str">
        <x:v>초등학교</x:v>
      </x:c>
      <x:c r="C580" s="291" t="str">
        <x:f>IF('초등학교+병설유치원(8월)'!B47="","",'초등학교+병설유치원(8월)'!B47)</x:f>
        <x:v>익산옥야초</x:v>
      </x:c>
      <x:c r="D580" s="293" t="n">
        <x:v>46241</x:v>
      </x:c>
      <x:c r="E580" s="294" t="n">
        <x:f>IF('초등학교+병설유치원(8월)'!AO47="",0,'초등학교+병설유치원(8월)'!AO47)</x:f>
        <x:v>13</x:v>
      </x:c>
      <x:c r="F580" s="294" t="n">
        <x:f>IF('초등학교+병설유치원(8월)'!AP47="",0,'초등학교+병설유치원(8월)'!AP47)</x:f>
        <x:v>0</x:v>
      </x:c>
      <x:c r="G580" s="294" t="n">
        <x:f>IF('초등학교+병설유치원(8월)'!AQ47="",0,'초등학교+병설유치원(8월)'!AQ47)</x:f>
        <x:v>0</x:v>
      </x:c>
      <x:c r="H580" s="294" t="n">
        <x:f>IF('초등학교+병설유치원(8월)'!AR47="",0,'초등학교+병설유치원(8월)'!AR47)</x:f>
        <x:v>0</x:v>
      </x:c>
      <x:c r="I580" s="294" t="n">
        <x:f>IF('초등학교+병설유치원(8월)'!AS47="",0,'초등학교+병설유치원(8월)'!AS47)</x:f>
        <x:v>0</x:v>
      </x:c>
      <x:c r="J580" s="296" t="n">
        <x:f>SUM(E580:I580)</x:f>
        <x:v>13</x:v>
      </x:c>
      <x:c r="K580" s="291" t="str">
        <x:v>8월</x:v>
      </x:c>
    </x:row>
    <x:row r="581">
      <x:c r="A581" s="291" t="n">
        <x:f>IF('초등학교+병설유치원(8월)'!A47="","",'초등학교+병설유치원(8월)'!A47)</x:f>
        <x:v>30</x:v>
      </x:c>
      <x:c r="B581" s="291" t="str">
        <x:v>초등학교</x:v>
      </x:c>
      <x:c r="C581" s="291" t="str">
        <x:f>IF('초등학교+병설유치원(8월)'!B47="","",'초등학교+병설유치원(8월)'!B47)</x:f>
        <x:v>익산옥야초</x:v>
      </x:c>
      <x:c r="D581" s="293" t="n">
        <x:v>46244</x:v>
      </x:c>
      <x:c r="E581" s="294" t="n">
        <x:f>IF('초등학교+병설유치원(8월)'!AU47="",0,'초등학교+병설유치원(8월)'!AU47)</x:f>
        <x:v>13</x:v>
      </x:c>
      <x:c r="F581" s="294" t="n">
        <x:f>IF('초등학교+병설유치원(8월)'!AV47="",0,'초등학교+병설유치원(8월)'!AV47)</x:f>
        <x:v>0</x:v>
      </x:c>
      <x:c r="G581" s="294" t="n">
        <x:f>IF('초등학교+병설유치원(8월)'!AW47="",0,'초등학교+병설유치원(8월)'!AW47)</x:f>
        <x:v>0</x:v>
      </x:c>
      <x:c r="H581" s="294" t="n">
        <x:f>IF('초등학교+병설유치원(8월)'!AX47="",0,'초등학교+병설유치원(8월)'!AX47)</x:f>
        <x:v>0</x:v>
      </x:c>
      <x:c r="I581" s="294" t="n">
        <x:f>IF('초등학교+병설유치원(8월)'!AY47="",0,'초등학교+병설유치원(8월)'!AY47)</x:f>
        <x:v>0</x:v>
      </x:c>
      <x:c r="J581" s="296" t="n">
        <x:f>SUM(E581:I581)</x:f>
        <x:v>13</x:v>
      </x:c>
      <x:c r="K581" s="291" t="str">
        <x:v>8월</x:v>
      </x:c>
    </x:row>
    <x:row r="582">
      <x:c r="A582" s="291" t="n">
        <x:f>IF('초등학교+병설유치원(8월)'!A47="","",'초등학교+병설유치원(8월)'!A47)</x:f>
        <x:v>30</x:v>
      </x:c>
      <x:c r="B582" s="291" t="str">
        <x:v>초등학교</x:v>
      </x:c>
      <x:c r="C582" s="291" t="str">
        <x:f>IF('초등학교+병설유치원(8월)'!B47="","",'초등학교+병설유치원(8월)'!B47)</x:f>
        <x:v>익산옥야초</x:v>
      </x:c>
      <x:c r="D582" s="293" t="n">
        <x:v>46245</x:v>
      </x:c>
      <x:c r="E582" s="294" t="n">
        <x:f>IF('초등학교+병설유치원(8월)'!BA47="",0,'초등학교+병설유치원(8월)'!BA47)</x:f>
        <x:v>13</x:v>
      </x:c>
      <x:c r="F582" s="294" t="n">
        <x:f>IF('초등학교+병설유치원(8월)'!BB47="",0,'초등학교+병설유치원(8월)'!BB47)</x:f>
        <x:v>0</x:v>
      </x:c>
      <x:c r="G582" s="294" t="n">
        <x:f>IF('초등학교+병설유치원(8월)'!BC47="",0,'초등학교+병설유치원(8월)'!BC47)</x:f>
        <x:v>0</x:v>
      </x:c>
      <x:c r="H582" s="294" t="n">
        <x:f>IF('초등학교+병설유치원(8월)'!BD47="",0,'초등학교+병설유치원(8월)'!BD47)</x:f>
        <x:v>0</x:v>
      </x:c>
      <x:c r="I582" s="294" t="n">
        <x:f>IF('초등학교+병설유치원(8월)'!BE47="",0,'초등학교+병설유치원(8월)'!BE47)</x:f>
        <x:v>0</x:v>
      </x:c>
      <x:c r="J582" s="296" t="n">
        <x:f>SUM(E582:I582)</x:f>
        <x:v>13</x:v>
      </x:c>
      <x:c r="K582" s="291" t="str">
        <x:v>8월</x:v>
      </x:c>
    </x:row>
    <x:row r="583">
      <x:c r="A583" s="291" t="n">
        <x:f>IF('초등학교+병설유치원(8월)'!A47="","",'초등학교+병설유치원(8월)'!A47)</x:f>
        <x:v>30</x:v>
      </x:c>
      <x:c r="B583" s="291" t="str">
        <x:v>초등학교</x:v>
      </x:c>
      <x:c r="C583" s="291" t="str">
        <x:f>IF('초등학교+병설유치원(8월)'!B47="","",'초등학교+병설유치원(8월)'!B47)</x:f>
        <x:v>익산옥야초</x:v>
      </x:c>
      <x:c r="D583" s="293" t="n">
        <x:v>46246</x:v>
      </x:c>
      <x:c r="E583" s="294" t="n">
        <x:f>IF('초등학교+병설유치원(8월)'!BG47="",0,'초등학교+병설유치원(8월)'!BG47)</x:f>
        <x:v>13</x:v>
      </x:c>
      <x:c r="F583" s="294" t="n">
        <x:f>IF('초등학교+병설유치원(8월)'!BH47="",0,'초등학교+병설유치원(8월)'!BH47)</x:f>
        <x:v>0</x:v>
      </x:c>
      <x:c r="G583" s="294" t="n">
        <x:f>IF('초등학교+병설유치원(8월)'!BI47="",0,'초등학교+병설유치원(8월)'!BI47)</x:f>
        <x:v>0</x:v>
      </x:c>
      <x:c r="H583" s="294" t="n">
        <x:f>IF('초등학교+병설유치원(8월)'!BJ47="",0,'초등학교+병설유치원(8월)'!BJ47)</x:f>
        <x:v>0</x:v>
      </x:c>
      <x:c r="I583" s="294" t="n">
        <x:f>IF('초등학교+병설유치원(8월)'!BK47="",0,'초등학교+병설유치원(8월)'!BK47)</x:f>
        <x:v>0</x:v>
      </x:c>
      <x:c r="J583" s="296" t="n">
        <x:f>SUM(E583:I583)</x:f>
        <x:v>13</x:v>
      </x:c>
      <x:c r="K583" s="291" t="str">
        <x:v>8월</x:v>
      </x:c>
    </x:row>
    <x:row r="584">
      <x:c r="A584" s="291" t="n">
        <x:f>IF('초등학교+병설유치원(8월)'!A47="","",'초등학교+병설유치원(8월)'!A47)</x:f>
        <x:v>30</x:v>
      </x:c>
      <x:c r="B584" s="291" t="str">
        <x:v>초등학교</x:v>
      </x:c>
      <x:c r="C584" s="291" t="str">
        <x:f>IF('초등학교+병설유치원(8월)'!B47="","",'초등학교+병설유치원(8월)'!B47)</x:f>
        <x:v>익산옥야초</x:v>
      </x:c>
      <x:c r="D584" s="293" t="n">
        <x:v>46247</x:v>
      </x:c>
      <x:c r="E584" s="294" t="n">
        <x:f>IF('초등학교+병설유치원(8월)'!BM47="",0,'초등학교+병설유치원(8월)'!BM47)</x:f>
        <x:v>13</x:v>
      </x:c>
      <x:c r="F584" s="294" t="n">
        <x:f>IF('초등학교+병설유치원(8월)'!BN47="",0,'초등학교+병설유치원(8월)'!BN47)</x:f>
        <x:v>0</x:v>
      </x:c>
      <x:c r="G584" s="294" t="n">
        <x:f>IF('초등학교+병설유치원(8월)'!BO47="",0,'초등학교+병설유치원(8월)'!BO47)</x:f>
        <x:v>0</x:v>
      </x:c>
      <x:c r="H584" s="294" t="n">
        <x:f>IF('초등학교+병설유치원(8월)'!BP47="",0,'초등학교+병설유치원(8월)'!BP47)</x:f>
        <x:v>0</x:v>
      </x:c>
      <x:c r="I584" s="294" t="n">
        <x:f>IF('초등학교+병설유치원(8월)'!BQ47="",0,'초등학교+병설유치원(8월)'!BQ47)</x:f>
        <x:v>0</x:v>
      </x:c>
      <x:c r="J584" s="296" t="n">
        <x:f>SUM(E584:I584)</x:f>
        <x:v>13</x:v>
      </x:c>
      <x:c r="K584" s="291" t="str">
        <x:v>8월</x:v>
      </x:c>
    </x:row>
    <x:row r="585">
      <x:c r="A585" s="291" t="n">
        <x:f>IF('초등학교+병설유치원(8월)'!A47="","",'초등학교+병설유치원(8월)'!A47)</x:f>
        <x:v>30</x:v>
      </x:c>
      <x:c r="B585" s="291" t="str">
        <x:v>초등학교</x:v>
      </x:c>
      <x:c r="C585" s="291" t="str">
        <x:f>IF('초등학교+병설유치원(8월)'!B47="","",'초등학교+병설유치원(8월)'!B47)</x:f>
        <x:v>익산옥야초</x:v>
      </x:c>
      <x:c r="D585" s="293" t="n">
        <x:v>46248</x:v>
      </x:c>
      <x:c r="E585" s="294" t="n">
        <x:f>IF('초등학교+병설유치원(8월)'!BS47="",0,'초등학교+병설유치원(8월)'!BS47)</x:f>
        <x:v>13</x:v>
      </x:c>
      <x:c r="F585" s="294" t="n">
        <x:f>IF('초등학교+병설유치원(8월)'!BT47="",0,'초등학교+병설유치원(8월)'!BT47)</x:f>
        <x:v>0</x:v>
      </x:c>
      <x:c r="G585" s="294" t="n">
        <x:f>IF('초등학교+병설유치원(8월)'!BU47="",0,'초등학교+병설유치원(8월)'!BU47)</x:f>
        <x:v>0</x:v>
      </x:c>
      <x:c r="H585" s="294" t="n">
        <x:f>IF('초등학교+병설유치원(8월)'!BV47="",0,'초등학교+병설유치원(8월)'!BV47)</x:f>
        <x:v>0</x:v>
      </x:c>
      <x:c r="I585" s="294" t="n">
        <x:f>IF('초등학교+병설유치원(8월)'!BW47="",0,'초등학교+병설유치원(8월)'!BW47)</x:f>
        <x:v>0</x:v>
      </x:c>
      <x:c r="J585" s="296" t="n">
        <x:f>SUM(E585:I585)</x:f>
        <x:v>13</x:v>
      </x:c>
      <x:c r="K585" s="291" t="str">
        <x:v>8월</x:v>
      </x:c>
    </x:row>
    <x:row r="586">
      <x:c r="A586" s="291" t="n">
        <x:f>IF('초등학교+병설유치원(8월)'!A47="","",'초등학교+병설유치원(8월)'!A47)</x:f>
        <x:v>30</x:v>
      </x:c>
      <x:c r="B586" s="291" t="str">
        <x:v>초등학교</x:v>
      </x:c>
      <x:c r="C586" s="291" t="str">
        <x:f>IF('초등학교+병설유치원(8월)'!B47="","",'초등학교+병설유치원(8월)'!B47)</x:f>
        <x:v>익산옥야초</x:v>
      </x:c>
      <x:c r="D586" s="293" t="n">
        <x:v>46252</x:v>
      </x:c>
      <x:c r="E586" s="294" t="n">
        <x:f>IF('초등학교+병설유치원(8월)'!BY47="",0,'초등학교+병설유치원(8월)'!BY47)</x:f>
        <x:v>13</x:v>
      </x:c>
      <x:c r="F586" s="294" t="n">
        <x:f>IF('초등학교+병설유치원(8월)'!BZ47="",0,'초등학교+병설유치원(8월)'!BZ47)</x:f>
        <x:v>0</x:v>
      </x:c>
      <x:c r="G586" s="294" t="n">
        <x:f>IF('초등학교+병설유치원(8월)'!CA47="",0,'초등학교+병설유치원(8월)'!CA47)</x:f>
        <x:v>0</x:v>
      </x:c>
      <x:c r="H586" s="294" t="n">
        <x:f>IF('초등학교+병설유치원(8월)'!CB47="",0,'초등학교+병설유치원(8월)'!CB47)</x:f>
        <x:v>0</x:v>
      </x:c>
      <x:c r="I586" s="294" t="n">
        <x:f>IF('초등학교+병설유치원(8월)'!CC47="",0,'초등학교+병설유치원(8월)'!CC47)</x:f>
        <x:v>0</x:v>
      </x:c>
      <x:c r="J586" s="296" t="n">
        <x:f>SUM(E586:I586)</x:f>
        <x:v>13</x:v>
      </x:c>
      <x:c r="K586" s="291" t="str">
        <x:v>8월</x:v>
      </x:c>
    </x:row>
    <x:row r="587">
      <x:c r="A587" s="291" t="n">
        <x:f>IF('초등학교+병설유치원(8월)'!A47="","",'초등학교+병설유치원(8월)'!A47)</x:f>
        <x:v>30</x:v>
      </x:c>
      <x:c r="B587" s="291" t="str">
        <x:v>초등학교</x:v>
      </x:c>
      <x:c r="C587" s="291" t="str">
        <x:f>IF('초등학교+병설유치원(8월)'!B47="","",'초등학교+병설유치원(8월)'!B47)</x:f>
        <x:v>익산옥야초</x:v>
      </x:c>
      <x:c r="D587" s="293" t="n">
        <x:v>46253</x:v>
      </x:c>
      <x:c r="E587" s="294" t="n">
        <x:f>IF('초등학교+병설유치원(8월)'!CE47="",0,'초등학교+병설유치원(8월)'!CE47)</x:f>
        <x:v>13</x:v>
      </x:c>
      <x:c r="F587" s="294" t="n">
        <x:f>IF('초등학교+병설유치원(8월)'!CF47="",0,'초등학교+병설유치원(8월)'!CF47)</x:f>
        <x:v>0</x:v>
      </x:c>
      <x:c r="G587" s="294" t="n">
        <x:f>IF('초등학교+병설유치원(8월)'!CG47="",0,'초등학교+병설유치원(8월)'!CG47)</x:f>
        <x:v>0</x:v>
      </x:c>
      <x:c r="H587" s="294" t="n">
        <x:f>IF('초등학교+병설유치원(8월)'!CH47="",0,'초등학교+병설유치원(8월)'!CH47)</x:f>
        <x:v>0</x:v>
      </x:c>
      <x:c r="I587" s="294" t="n">
        <x:f>IF('초등학교+병설유치원(8월)'!CI47="",0,'초등학교+병설유치원(8월)'!CI47)</x:f>
        <x:v>0</x:v>
      </x:c>
      <x:c r="J587" s="296" t="n">
        <x:f>SUM(E587:I587)</x:f>
        <x:v>13</x:v>
      </x:c>
      <x:c r="K587" s="291" t="str">
        <x:v>8월</x:v>
      </x:c>
    </x:row>
    <x:row r="588">
      <x:c r="A588" s="291" t="n">
        <x:f>IF('초등학교+병설유치원(8월)'!A47="","",'초등학교+병설유치원(8월)'!A47)</x:f>
        <x:v>30</x:v>
      </x:c>
      <x:c r="B588" s="291" t="str">
        <x:v>초등학교</x:v>
      </x:c>
      <x:c r="C588" s="291" t="str">
        <x:f>IF('초등학교+병설유치원(8월)'!B47="","",'초등학교+병설유치원(8월)'!B47)</x:f>
        <x:v>익산옥야초</x:v>
      </x:c>
      <x:c r="D588" s="293" t="n">
        <x:v>46254</x:v>
      </x:c>
      <x:c r="E588" s="294" t="n">
        <x:f>IF('초등학교+병설유치원(8월)'!CK47="",0,'초등학교+병설유치원(8월)'!CK47)</x:f>
        <x:v>13</x:v>
      </x:c>
      <x:c r="F588" s="294" t="n">
        <x:f>IF('초등학교+병설유치원(8월)'!CL47="",0,'초등학교+병설유치원(8월)'!CL47)</x:f>
        <x:v>0</x:v>
      </x:c>
      <x:c r="G588" s="294" t="n">
        <x:f>IF('초등학교+병설유치원(8월)'!CM47="",0,'초등학교+병설유치원(8월)'!CM47)</x:f>
        <x:v>0</x:v>
      </x:c>
      <x:c r="H588" s="294" t="n">
        <x:f>IF('초등학교+병설유치원(8월)'!CN47="",0,'초등학교+병설유치원(8월)'!CN47)</x:f>
        <x:v>0</x:v>
      </x:c>
      <x:c r="I588" s="294" t="n">
        <x:f>IF('초등학교+병설유치원(8월)'!CO47="",0,'초등학교+병설유치원(8월)'!CO47)</x:f>
        <x:v>0</x:v>
      </x:c>
      <x:c r="J588" s="296" t="n">
        <x:f>SUM(E588:I588)</x:f>
        <x:v>13</x:v>
      </x:c>
      <x:c r="K588" s="291" t="str">
        <x:v>8월</x:v>
      </x:c>
    </x:row>
    <x:row r="589">
      <x:c r="A589" s="291" t="n">
        <x:f>IF('초등학교+병설유치원(8월)'!A48="","",'초등학교+병설유치원(8월)'!A48)</x:f>
        <x:v>31</x:v>
      </x:c>
      <x:c r="B589" s="291" t="str">
        <x:v>초등학교</x:v>
      </x:c>
      <x:c r="C589" s="291" t="str">
        <x:f>IF('초등학교+병설유치원(8월)'!B48="","",'초등학교+병설유치원(8월)'!B48)</x:f>
        <x:v>익산초</x:v>
      </x:c>
      <x:c r="D589" s="293" t="n">
        <x:v>46237</x:v>
      </x:c>
      <x:c r="E589" s="294" t="n">
        <x:f>IF('초등학교+병설유치원(8월)'!Q48="",0,'초등학교+병설유치원(8월)'!Q48)</x:f>
        <x:v>23</x:v>
      </x:c>
      <x:c r="F589" s="294" t="n">
        <x:f>IF('초등학교+병설유치원(8월)'!R48="",0,'초등학교+병설유치원(8월)'!R48)</x:f>
        <x:v>22</x:v>
      </x:c>
      <x:c r="G589" s="294" t="n">
        <x:f>IF('초등학교+병설유치원(8월)'!S48="",0,'초등학교+병설유치원(8월)'!S48)</x:f>
        <x:v>0</x:v>
      </x:c>
      <x:c r="H589" s="294" t="n">
        <x:f>IF('초등학교+병설유치원(8월)'!T48="",0,'초등학교+병설유치원(8월)'!T48)</x:f>
        <x:v>0</x:v>
      </x:c>
      <x:c r="I589" s="294" t="n">
        <x:f>IF('초등학교+병설유치원(8월)'!U48="",0,'초등학교+병설유치원(8월)'!U48)</x:f>
        <x:v>0</x:v>
      </x:c>
      <x:c r="J589" s="296" t="n">
        <x:f>SUM(E589:I589)</x:f>
        <x:v>45</x:v>
      </x:c>
      <x:c r="K589" s="291" t="str">
        <x:v>8월</x:v>
      </x:c>
    </x:row>
    <x:row r="590">
      <x:c r="A590" s="291" t="n">
        <x:f>IF('초등학교+병설유치원(8월)'!A48="","",'초등학교+병설유치원(8월)'!A48)</x:f>
        <x:v>31</x:v>
      </x:c>
      <x:c r="B590" s="291" t="str">
        <x:v>초등학교</x:v>
      </x:c>
      <x:c r="C590" s="291" t="str">
        <x:f>IF('초등학교+병설유치원(8월)'!B48="","",'초등학교+병설유치원(8월)'!B48)</x:f>
        <x:v>익산초</x:v>
      </x:c>
      <x:c r="D590" s="293" t="n">
        <x:v>46238</x:v>
      </x:c>
      <x:c r="E590" s="294" t="n">
        <x:f>IF('초등학교+병설유치원(8월)'!W48="",0,'초등학교+병설유치원(8월)'!W48)</x:f>
        <x:v>23</x:v>
      </x:c>
      <x:c r="F590" s="294" t="n">
        <x:f>IF('초등학교+병설유치원(8월)'!X48="",0,'초등학교+병설유치원(8월)'!X48)</x:f>
        <x:v>22</x:v>
      </x:c>
      <x:c r="G590" s="294" t="n">
        <x:f>IF('초등학교+병설유치원(8월)'!Y48="",0,'초등학교+병설유치원(8월)'!Y48)</x:f>
        <x:v>0</x:v>
      </x:c>
      <x:c r="H590" s="294" t="n">
        <x:f>IF('초등학교+병설유치원(8월)'!Z48="",0,'초등학교+병설유치원(8월)'!Z48)</x:f>
        <x:v>0</x:v>
      </x:c>
      <x:c r="I590" s="294" t="n">
        <x:f>IF('초등학교+병설유치원(8월)'!AA48="",0,'초등학교+병설유치원(8월)'!AA48)</x:f>
        <x:v>0</x:v>
      </x:c>
      <x:c r="J590" s="296" t="n">
        <x:f>SUM(E590:I590)</x:f>
        <x:v>45</x:v>
      </x:c>
      <x:c r="K590" s="291" t="str">
        <x:v>8월</x:v>
      </x:c>
    </x:row>
    <x:row r="591">
      <x:c r="A591" s="291" t="n">
        <x:f>IF('초등학교+병설유치원(8월)'!A48="","",'초등학교+병설유치원(8월)'!A48)</x:f>
        <x:v>31</x:v>
      </x:c>
      <x:c r="B591" s="291" t="str">
        <x:v>초등학교</x:v>
      </x:c>
      <x:c r="C591" s="291" t="str">
        <x:f>IF('초등학교+병설유치원(8월)'!B48="","",'초등학교+병설유치원(8월)'!B48)</x:f>
        <x:v>익산초</x:v>
      </x:c>
      <x:c r="D591" s="293" t="n">
        <x:v>46239</x:v>
      </x:c>
      <x:c r="E591" s="294" t="n">
        <x:f>IF('초등학교+병설유치원(8월)'!AC48="",0,'초등학교+병설유치원(8월)'!AC48)</x:f>
        <x:v>23</x:v>
      </x:c>
      <x:c r="F591" s="294" t="n">
        <x:f>IF('초등학교+병설유치원(8월)'!AD48="",0,'초등학교+병설유치원(8월)'!AD48)</x:f>
        <x:v>22</x:v>
      </x:c>
      <x:c r="G591" s="294" t="n">
        <x:f>IF('초등학교+병설유치원(8월)'!AE48="",0,'초등학교+병설유치원(8월)'!AE48)</x:f>
        <x:v>0</x:v>
      </x:c>
      <x:c r="H591" s="294" t="n">
        <x:f>IF('초등학교+병설유치원(8월)'!AF48="",0,'초등학교+병설유치원(8월)'!AF48)</x:f>
        <x:v>0</x:v>
      </x:c>
      <x:c r="I591" s="294" t="n">
        <x:f>IF('초등학교+병설유치원(8월)'!AG48="",0,'초등학교+병설유치원(8월)'!AG48)</x:f>
        <x:v>0</x:v>
      </x:c>
      <x:c r="J591" s="296" t="n">
        <x:f>SUM(E591:I591)</x:f>
        <x:v>45</x:v>
      </x:c>
      <x:c r="K591" s="291" t="str">
        <x:v>8월</x:v>
      </x:c>
    </x:row>
    <x:row r="592">
      <x:c r="A592" s="291" t="n">
        <x:f>IF('초등학교+병설유치원(8월)'!A48="","",'초등학교+병설유치원(8월)'!A48)</x:f>
        <x:v>31</x:v>
      </x:c>
      <x:c r="B592" s="291" t="str">
        <x:v>초등학교</x:v>
      </x:c>
      <x:c r="C592" s="291" t="str">
        <x:f>IF('초등학교+병설유치원(8월)'!B48="","",'초등학교+병설유치원(8월)'!B48)</x:f>
        <x:v>익산초</x:v>
      </x:c>
      <x:c r="D592" s="293" t="n">
        <x:v>46240</x:v>
      </x:c>
      <x:c r="E592" s="294" t="n">
        <x:f>IF('초등학교+병설유치원(8월)'!AI48="",0,'초등학교+병설유치원(8월)'!AI48)</x:f>
        <x:v>23</x:v>
      </x:c>
      <x:c r="F592" s="294" t="n">
        <x:f>IF('초등학교+병설유치원(8월)'!AJ48="",0,'초등학교+병설유치원(8월)'!AJ48)</x:f>
        <x:v>22</x:v>
      </x:c>
      <x:c r="G592" s="294" t="n">
        <x:f>IF('초등학교+병설유치원(8월)'!AK48="",0,'초등학교+병설유치원(8월)'!AK48)</x:f>
        <x:v>0</x:v>
      </x:c>
      <x:c r="H592" s="294" t="n">
        <x:f>IF('초등학교+병설유치원(8월)'!AL48="",0,'초등학교+병설유치원(8월)'!AL48)</x:f>
        <x:v>0</x:v>
      </x:c>
      <x:c r="I592" s="294" t="n">
        <x:f>IF('초등학교+병설유치원(8월)'!AM48="",0,'초등학교+병설유치원(8월)'!AM48)</x:f>
        <x:v>0</x:v>
      </x:c>
      <x:c r="J592" s="296" t="n">
        <x:f>SUM(E592:I592)</x:f>
        <x:v>45</x:v>
      </x:c>
      <x:c r="K592" s="291" t="str">
        <x:v>8월</x:v>
      </x:c>
    </x:row>
    <x:row r="593">
      <x:c r="A593" s="291" t="n">
        <x:f>IF('초등학교+병설유치원(8월)'!A48="","",'초등학교+병설유치원(8월)'!A48)</x:f>
        <x:v>31</x:v>
      </x:c>
      <x:c r="B593" s="291" t="str">
        <x:v>초등학교</x:v>
      </x:c>
      <x:c r="C593" s="291" t="str">
        <x:f>IF('초등학교+병설유치원(8월)'!B48="","",'초등학교+병설유치원(8월)'!B48)</x:f>
        <x:v>익산초</x:v>
      </x:c>
      <x:c r="D593" s="293" t="n">
        <x:v>46241</x:v>
      </x:c>
      <x:c r="E593" s="294" t="n">
        <x:f>IF('초등학교+병설유치원(8월)'!AO48="",0,'초등학교+병설유치원(8월)'!AO48)</x:f>
        <x:v>23</x:v>
      </x:c>
      <x:c r="F593" s="294" t="n">
        <x:f>IF('초등학교+병설유치원(8월)'!AP48="",0,'초등학교+병설유치원(8월)'!AP48)</x:f>
        <x:v>22</x:v>
      </x:c>
      <x:c r="G593" s="294" t="n">
        <x:f>IF('초등학교+병설유치원(8월)'!AQ48="",0,'초등학교+병설유치원(8월)'!AQ48)</x:f>
        <x:v>0</x:v>
      </x:c>
      <x:c r="H593" s="294" t="n">
        <x:f>IF('초등학교+병설유치원(8월)'!AR48="",0,'초등학교+병설유치원(8월)'!AR48)</x:f>
        <x:v>0</x:v>
      </x:c>
      <x:c r="I593" s="294" t="n">
        <x:f>IF('초등학교+병설유치원(8월)'!AS48="",0,'초등학교+병설유치원(8월)'!AS48)</x:f>
        <x:v>0</x:v>
      </x:c>
      <x:c r="J593" s="296" t="n">
        <x:f>SUM(E593:I593)</x:f>
        <x:v>45</x:v>
      </x:c>
      <x:c r="K593" s="291" t="str">
        <x:v>8월</x:v>
      </x:c>
    </x:row>
    <x:row r="594">
      <x:c r="A594" s="291" t="n">
        <x:f>IF('초등학교+병설유치원(8월)'!A48="","",'초등학교+병설유치원(8월)'!A48)</x:f>
        <x:v>31</x:v>
      </x:c>
      <x:c r="B594" s="291" t="str">
        <x:v>초등학교</x:v>
      </x:c>
      <x:c r="C594" s="291" t="str">
        <x:f>IF('초등학교+병설유치원(8월)'!B48="","",'초등학교+병설유치원(8월)'!B48)</x:f>
        <x:v>익산초</x:v>
      </x:c>
      <x:c r="D594" s="293" t="n">
        <x:v>46244</x:v>
      </x:c>
      <x:c r="E594" s="294" t="n">
        <x:f>IF('초등학교+병설유치원(8월)'!AU48="",0,'초등학교+병설유치원(8월)'!AU48)</x:f>
        <x:v>23</x:v>
      </x:c>
      <x:c r="F594" s="294" t="n">
        <x:f>IF('초등학교+병설유치원(8월)'!AV48="",0,'초등학교+병설유치원(8월)'!AV48)</x:f>
        <x:v>22</x:v>
      </x:c>
      <x:c r="G594" s="294" t="n">
        <x:f>IF('초등학교+병설유치원(8월)'!AW48="",0,'초등학교+병설유치원(8월)'!AW48)</x:f>
        <x:v>0</x:v>
      </x:c>
      <x:c r="H594" s="294" t="n">
        <x:f>IF('초등학교+병설유치원(8월)'!AX48="",0,'초등학교+병설유치원(8월)'!AX48)</x:f>
        <x:v>0</x:v>
      </x:c>
      <x:c r="I594" s="294" t="n">
        <x:f>IF('초등학교+병설유치원(8월)'!AY48="",0,'초등학교+병설유치원(8월)'!AY48)</x:f>
        <x:v>0</x:v>
      </x:c>
      <x:c r="J594" s="296" t="n">
        <x:f>SUM(E594:I594)</x:f>
        <x:v>45</x:v>
      </x:c>
      <x:c r="K594" s="291" t="str">
        <x:v>8월</x:v>
      </x:c>
    </x:row>
    <x:row r="595">
      <x:c r="A595" s="291" t="n">
        <x:f>IF('초등학교+병설유치원(8월)'!A48="","",'초등학교+병설유치원(8월)'!A48)</x:f>
        <x:v>31</x:v>
      </x:c>
      <x:c r="B595" s="291" t="str">
        <x:v>초등학교</x:v>
      </x:c>
      <x:c r="C595" s="291" t="str">
        <x:f>IF('초등학교+병설유치원(8월)'!B48="","",'초등학교+병설유치원(8월)'!B48)</x:f>
        <x:v>익산초</x:v>
      </x:c>
      <x:c r="D595" s="293" t="n">
        <x:v>46245</x:v>
      </x:c>
      <x:c r="E595" s="294" t="n">
        <x:f>IF('초등학교+병설유치원(8월)'!BA48="",0,'초등학교+병설유치원(8월)'!BA48)</x:f>
        <x:v>23</x:v>
      </x:c>
      <x:c r="F595" s="294" t="n">
        <x:f>IF('초등학교+병설유치원(8월)'!BB48="",0,'초등학교+병설유치원(8월)'!BB48)</x:f>
        <x:v>22</x:v>
      </x:c>
      <x:c r="G595" s="294" t="n">
        <x:f>IF('초등학교+병설유치원(8월)'!BC48="",0,'초등학교+병설유치원(8월)'!BC48)</x:f>
        <x:v>0</x:v>
      </x:c>
      <x:c r="H595" s="294" t="n">
        <x:f>IF('초등학교+병설유치원(8월)'!BD48="",0,'초등학교+병설유치원(8월)'!BD48)</x:f>
        <x:v>0</x:v>
      </x:c>
      <x:c r="I595" s="294" t="n">
        <x:f>IF('초등학교+병설유치원(8월)'!BE48="",0,'초등학교+병설유치원(8월)'!BE48)</x:f>
        <x:v>0</x:v>
      </x:c>
      <x:c r="J595" s="296" t="n">
        <x:f>SUM(E595:I595)</x:f>
        <x:v>45</x:v>
      </x:c>
      <x:c r="K595" s="291" t="str">
        <x:v>8월</x:v>
      </x:c>
    </x:row>
    <x:row r="596">
      <x:c r="A596" s="291" t="n">
        <x:f>IF('초등학교+병설유치원(8월)'!A48="","",'초등학교+병설유치원(8월)'!A48)</x:f>
        <x:v>31</x:v>
      </x:c>
      <x:c r="B596" s="291" t="str">
        <x:v>초등학교</x:v>
      </x:c>
      <x:c r="C596" s="291" t="str">
        <x:f>IF('초등학교+병설유치원(8월)'!B48="","",'초등학교+병설유치원(8월)'!B48)</x:f>
        <x:v>익산초</x:v>
      </x:c>
      <x:c r="D596" s="293" t="n">
        <x:v>46246</x:v>
      </x:c>
      <x:c r="E596" s="294" t="n">
        <x:f>IF('초등학교+병설유치원(8월)'!BG48="",0,'초등학교+병설유치원(8월)'!BG48)</x:f>
        <x:v>23</x:v>
      </x:c>
      <x:c r="F596" s="294" t="n">
        <x:f>IF('초등학교+병설유치원(8월)'!BH48="",0,'초등학교+병설유치원(8월)'!BH48)</x:f>
        <x:v>22</x:v>
      </x:c>
      <x:c r="G596" s="294" t="n">
        <x:f>IF('초등학교+병설유치원(8월)'!BI48="",0,'초등학교+병설유치원(8월)'!BI48)</x:f>
        <x:v>0</x:v>
      </x:c>
      <x:c r="H596" s="294" t="n">
        <x:f>IF('초등학교+병설유치원(8월)'!BJ48="",0,'초등학교+병설유치원(8월)'!BJ48)</x:f>
        <x:v>0</x:v>
      </x:c>
      <x:c r="I596" s="294" t="n">
        <x:f>IF('초등학교+병설유치원(8월)'!BK48="",0,'초등학교+병설유치원(8월)'!BK48)</x:f>
        <x:v>0</x:v>
      </x:c>
      <x:c r="J596" s="296" t="n">
        <x:f>SUM(E596:I596)</x:f>
        <x:v>45</x:v>
      </x:c>
      <x:c r="K596" s="291" t="str">
        <x:v>8월</x:v>
      </x:c>
    </x:row>
    <x:row r="597">
      <x:c r="A597" s="291" t="n">
        <x:f>IF('초등학교+병설유치원(8월)'!A48="","",'초등학교+병설유치원(8월)'!A48)</x:f>
        <x:v>31</x:v>
      </x:c>
      <x:c r="B597" s="291" t="str">
        <x:v>초등학교</x:v>
      </x:c>
      <x:c r="C597" s="291" t="str">
        <x:f>IF('초등학교+병설유치원(8월)'!B48="","",'초등학교+병설유치원(8월)'!B48)</x:f>
        <x:v>익산초</x:v>
      </x:c>
      <x:c r="D597" s="293" t="n">
        <x:v>46247</x:v>
      </x:c>
      <x:c r="E597" s="294" t="n">
        <x:f>IF('초등학교+병설유치원(8월)'!BM48="",0,'초등학교+병설유치원(8월)'!BM48)</x:f>
        <x:v>23</x:v>
      </x:c>
      <x:c r="F597" s="294" t="n">
        <x:f>IF('초등학교+병설유치원(8월)'!BN48="",0,'초등학교+병설유치원(8월)'!BN48)</x:f>
        <x:v>22</x:v>
      </x:c>
      <x:c r="G597" s="294" t="n">
        <x:f>IF('초등학교+병설유치원(8월)'!BO48="",0,'초등학교+병설유치원(8월)'!BO48)</x:f>
        <x:v>0</x:v>
      </x:c>
      <x:c r="H597" s="294" t="n">
        <x:f>IF('초등학교+병설유치원(8월)'!BP48="",0,'초등학교+병설유치원(8월)'!BP48)</x:f>
        <x:v>0</x:v>
      </x:c>
      <x:c r="I597" s="294" t="n">
        <x:f>IF('초등학교+병설유치원(8월)'!BQ48="",0,'초등학교+병설유치원(8월)'!BQ48)</x:f>
        <x:v>0</x:v>
      </x:c>
      <x:c r="J597" s="296" t="n">
        <x:f>SUM(E597:I597)</x:f>
        <x:v>45</x:v>
      </x:c>
      <x:c r="K597" s="291" t="str">
        <x:v>8월</x:v>
      </x:c>
    </x:row>
    <x:row r="598">
      <x:c r="A598" s="291" t="n">
        <x:f>IF('초등학교+병설유치원(8월)'!A48="","",'초등학교+병설유치원(8월)'!A48)</x:f>
        <x:v>31</x:v>
      </x:c>
      <x:c r="B598" s="291" t="str">
        <x:v>초등학교</x:v>
      </x:c>
      <x:c r="C598" s="291" t="str">
        <x:f>IF('초등학교+병설유치원(8월)'!B48="","",'초등학교+병설유치원(8월)'!B48)</x:f>
        <x:v>익산초</x:v>
      </x:c>
      <x:c r="D598" s="293" t="n">
        <x:v>46248</x:v>
      </x:c>
      <x:c r="E598" s="294" t="n">
        <x:f>IF('초등학교+병설유치원(8월)'!BS48="",0,'초등학교+병설유치원(8월)'!BS48)</x:f>
        <x:v>23</x:v>
      </x:c>
      <x:c r="F598" s="294" t="n">
        <x:f>IF('초등학교+병설유치원(8월)'!BT48="",0,'초등학교+병설유치원(8월)'!BT48)</x:f>
        <x:v>22</x:v>
      </x:c>
      <x:c r="G598" s="294" t="n">
        <x:f>IF('초등학교+병설유치원(8월)'!BU48="",0,'초등학교+병설유치원(8월)'!BU48)</x:f>
        <x:v>0</x:v>
      </x:c>
      <x:c r="H598" s="294" t="n">
        <x:f>IF('초등학교+병설유치원(8월)'!BV48="",0,'초등학교+병설유치원(8월)'!BV48)</x:f>
        <x:v>0</x:v>
      </x:c>
      <x:c r="I598" s="294" t="n">
        <x:f>IF('초등학교+병설유치원(8월)'!BW48="",0,'초등학교+병설유치원(8월)'!BW48)</x:f>
        <x:v>0</x:v>
      </x:c>
      <x:c r="J598" s="296" t="n">
        <x:f>SUM(E598:I598)</x:f>
        <x:v>45</x:v>
      </x:c>
      <x:c r="K598" s="291" t="str">
        <x:v>8월</x:v>
      </x:c>
    </x:row>
    <x:row r="599">
      <x:c r="A599" s="291" t="n">
        <x:f>IF('초등학교+병설유치원(8월)'!A48="","",'초등학교+병설유치원(8월)'!A48)</x:f>
        <x:v>31</x:v>
      </x:c>
      <x:c r="B599" s="291" t="str">
        <x:v>초등학교</x:v>
      </x:c>
      <x:c r="C599" s="291" t="str">
        <x:f>IF('초등학교+병설유치원(8월)'!B48="","",'초등학교+병설유치원(8월)'!B48)</x:f>
        <x:v>익산초</x:v>
      </x:c>
      <x:c r="D599" s="293" t="n">
        <x:v>46252</x:v>
      </x:c>
      <x:c r="E599" s="294" t="n">
        <x:f>IF('초등학교+병설유치원(8월)'!BY48="",0,'초등학교+병설유치원(8월)'!BY48)</x:f>
        <x:v>23</x:v>
      </x:c>
      <x:c r="F599" s="294" t="n">
        <x:f>IF('초등학교+병설유치원(8월)'!BZ48="",0,'초등학교+병설유치원(8월)'!BZ48)</x:f>
        <x:v>22</x:v>
      </x:c>
      <x:c r="G599" s="294" t="n">
        <x:f>IF('초등학교+병설유치원(8월)'!CA48="",0,'초등학교+병설유치원(8월)'!CA48)</x:f>
        <x:v>0</x:v>
      </x:c>
      <x:c r="H599" s="294" t="n">
        <x:f>IF('초등학교+병설유치원(8월)'!CB48="",0,'초등학교+병설유치원(8월)'!CB48)</x:f>
        <x:v>0</x:v>
      </x:c>
      <x:c r="I599" s="294" t="n">
        <x:f>IF('초등학교+병설유치원(8월)'!CC48="",0,'초등학교+병설유치원(8월)'!CC48)</x:f>
        <x:v>0</x:v>
      </x:c>
      <x:c r="J599" s="296" t="n">
        <x:f>SUM(E599:I599)</x:f>
        <x:v>45</x:v>
      </x:c>
      <x:c r="K599" s="291" t="str">
        <x:v>8월</x:v>
      </x:c>
    </x:row>
    <x:row r="600">
      <x:c r="A600" s="291" t="n">
        <x:f>IF('초등학교+병설유치원(8월)'!A49="","",'초등학교+병설유치원(8월)'!A49)</x:f>
        <x:v>32</x:v>
      </x:c>
      <x:c r="B600" s="291" t="str">
        <x:v>초등학교</x:v>
      </x:c>
      <x:c r="C600" s="291" t="str">
        <x:f>IF('초등학교+병설유치원(8월)'!B49="","",'초등학교+병설유치원(8월)'!B49)</x:f>
        <x:v>익산한벌초</x:v>
      </x:c>
      <x:c r="D600" s="293" t="n">
        <x:v>46237</x:v>
      </x:c>
      <x:c r="E600" s="294" t="n">
        <x:f>IF('초등학교+병설유치원(8월)'!Q49="",0,'초등학교+병설유치원(8월)'!Q49)</x:f>
        <x:v>19</x:v>
      </x:c>
      <x:c r="F600" s="294" t="n">
        <x:f>IF('초등학교+병설유치원(8월)'!R49="",0,'초등학교+병설유치원(8월)'!R49)</x:f>
        <x:v>16</x:v>
      </x:c>
      <x:c r="G600" s="294" t="n">
        <x:f>IF('초등학교+병설유치원(8월)'!S49="",0,'초등학교+병설유치원(8월)'!S49)</x:f>
        <x:v>0</x:v>
      </x:c>
      <x:c r="H600" s="294" t="n">
        <x:f>IF('초등학교+병설유치원(8월)'!T49="",0,'초등학교+병설유치원(8월)'!T49)</x:f>
        <x:v>0</x:v>
      </x:c>
      <x:c r="I600" s="294" t="n">
        <x:f>IF('초등학교+병설유치원(8월)'!U49="",0,'초등학교+병설유치원(8월)'!U49)</x:f>
        <x:v>0</x:v>
      </x:c>
      <x:c r="J600" s="296" t="n">
        <x:f>SUM(E600:I600)</x:f>
        <x:v>35</x:v>
      </x:c>
      <x:c r="K600" s="291" t="str">
        <x:v>8월</x:v>
      </x:c>
    </x:row>
    <x:row r="601">
      <x:c r="A601" s="291" t="n">
        <x:f>IF('초등학교+병설유치원(8월)'!A49="","",'초등학교+병설유치원(8월)'!A49)</x:f>
        <x:v>32</x:v>
      </x:c>
      <x:c r="B601" s="291" t="str">
        <x:v>초등학교</x:v>
      </x:c>
      <x:c r="C601" s="291" t="str">
        <x:f>IF('초등학교+병설유치원(8월)'!B49="","",'초등학교+병설유치원(8월)'!B49)</x:f>
        <x:v>익산한벌초</x:v>
      </x:c>
      <x:c r="D601" s="293" t="n">
        <x:v>46238</x:v>
      </x:c>
      <x:c r="E601" s="294" t="n">
        <x:f>IF('초등학교+병설유치원(8월)'!W49="",0,'초등학교+병설유치원(8월)'!W49)</x:f>
        <x:v>19</x:v>
      </x:c>
      <x:c r="F601" s="294" t="n">
        <x:f>IF('초등학교+병설유치원(8월)'!X49="",0,'초등학교+병설유치원(8월)'!X49)</x:f>
        <x:v>16</x:v>
      </x:c>
      <x:c r="G601" s="294" t="n">
        <x:f>IF('초등학교+병설유치원(8월)'!Y49="",0,'초등학교+병설유치원(8월)'!Y49)</x:f>
        <x:v>0</x:v>
      </x:c>
      <x:c r="H601" s="294" t="n">
        <x:f>IF('초등학교+병설유치원(8월)'!Z49="",0,'초등학교+병설유치원(8월)'!Z49)</x:f>
        <x:v>0</x:v>
      </x:c>
      <x:c r="I601" s="294" t="n">
        <x:f>IF('초등학교+병설유치원(8월)'!AA49="",0,'초등학교+병설유치원(8월)'!AA49)</x:f>
        <x:v>0</x:v>
      </x:c>
      <x:c r="J601" s="296" t="n">
        <x:f>SUM(E601:I601)</x:f>
        <x:v>35</x:v>
      </x:c>
      <x:c r="K601" s="291" t="str">
        <x:v>8월</x:v>
      </x:c>
    </x:row>
    <x:row r="602">
      <x:c r="A602" s="291" t="n">
        <x:f>IF('초등학교+병설유치원(8월)'!A49="","",'초등학교+병설유치원(8월)'!A49)</x:f>
        <x:v>32</x:v>
      </x:c>
      <x:c r="B602" s="291" t="str">
        <x:v>초등학교</x:v>
      </x:c>
      <x:c r="C602" s="291" t="str">
        <x:f>IF('초등학교+병설유치원(8월)'!B49="","",'초등학교+병설유치원(8월)'!B49)</x:f>
        <x:v>익산한벌초</x:v>
      </x:c>
      <x:c r="D602" s="293" t="n">
        <x:v>46239</x:v>
      </x:c>
      <x:c r="E602" s="294" t="n">
        <x:f>IF('초등학교+병설유치원(8월)'!AC49="",0,'초등학교+병설유치원(8월)'!AC49)</x:f>
        <x:v>19</x:v>
      </x:c>
      <x:c r="F602" s="294" t="n">
        <x:f>IF('초등학교+병설유치원(8월)'!AD49="",0,'초등학교+병설유치원(8월)'!AD49)</x:f>
        <x:v>16</x:v>
      </x:c>
      <x:c r="G602" s="294" t="n">
        <x:f>IF('초등학교+병설유치원(8월)'!AE49="",0,'초등학교+병설유치원(8월)'!AE49)</x:f>
        <x:v>0</x:v>
      </x:c>
      <x:c r="H602" s="294" t="n">
        <x:f>IF('초등학교+병설유치원(8월)'!AF49="",0,'초등학교+병설유치원(8월)'!AF49)</x:f>
        <x:v>0</x:v>
      </x:c>
      <x:c r="I602" s="294" t="n">
        <x:f>IF('초등학교+병설유치원(8월)'!AG49="",0,'초등학교+병설유치원(8월)'!AG49)</x:f>
        <x:v>0</x:v>
      </x:c>
      <x:c r="J602" s="296" t="n">
        <x:f>SUM(E602:I602)</x:f>
        <x:v>35</x:v>
      </x:c>
      <x:c r="K602" s="291" t="str">
        <x:v>8월</x:v>
      </x:c>
    </x:row>
    <x:row r="603">
      <x:c r="A603" s="291" t="n">
        <x:f>IF('초등학교+병설유치원(8월)'!A49="","",'초등학교+병설유치원(8월)'!A49)</x:f>
        <x:v>32</x:v>
      </x:c>
      <x:c r="B603" s="291" t="str">
        <x:v>초등학교</x:v>
      </x:c>
      <x:c r="C603" s="291" t="str">
        <x:f>IF('초등학교+병설유치원(8월)'!B49="","",'초등학교+병설유치원(8월)'!B49)</x:f>
        <x:v>익산한벌초</x:v>
      </x:c>
      <x:c r="D603" s="293" t="n">
        <x:v>46240</x:v>
      </x:c>
      <x:c r="E603" s="294" t="n">
        <x:f>IF('초등학교+병설유치원(8월)'!AI49="",0,'초등학교+병설유치원(8월)'!AI49)</x:f>
        <x:v>19</x:v>
      </x:c>
      <x:c r="F603" s="294" t="n">
        <x:f>IF('초등학교+병설유치원(8월)'!AJ49="",0,'초등학교+병설유치원(8월)'!AJ49)</x:f>
        <x:v>16</x:v>
      </x:c>
      <x:c r="G603" s="294" t="n">
        <x:f>IF('초등학교+병설유치원(8월)'!AK49="",0,'초등학교+병설유치원(8월)'!AK49)</x:f>
        <x:v>0</x:v>
      </x:c>
      <x:c r="H603" s="294" t="n">
        <x:f>IF('초등학교+병설유치원(8월)'!AL49="",0,'초등학교+병설유치원(8월)'!AL49)</x:f>
        <x:v>0</x:v>
      </x:c>
      <x:c r="I603" s="294" t="n">
        <x:f>IF('초등학교+병설유치원(8월)'!AM49="",0,'초등학교+병설유치원(8월)'!AM49)</x:f>
        <x:v>0</x:v>
      </x:c>
      <x:c r="J603" s="296" t="n">
        <x:f>SUM(E603:I603)</x:f>
        <x:v>35</x:v>
      </x:c>
      <x:c r="K603" s="291" t="str">
        <x:v>8월</x:v>
      </x:c>
    </x:row>
    <x:row r="604">
      <x:c r="A604" s="291" t="n">
        <x:f>IF('초등학교+병설유치원(8월)'!A49="","",'초등학교+병설유치원(8월)'!A49)</x:f>
        <x:v>32</x:v>
      </x:c>
      <x:c r="B604" s="291" t="str">
        <x:v>초등학교</x:v>
      </x:c>
      <x:c r="C604" s="291" t="str">
        <x:f>IF('초등학교+병설유치원(8월)'!B49="","",'초등학교+병설유치원(8월)'!B49)</x:f>
        <x:v>익산한벌초</x:v>
      </x:c>
      <x:c r="D604" s="293" t="n">
        <x:v>46241</x:v>
      </x:c>
      <x:c r="E604" s="294" t="n">
        <x:f>IF('초등학교+병설유치원(8월)'!AO49="",0,'초등학교+병설유치원(8월)'!AO49)</x:f>
        <x:v>19</x:v>
      </x:c>
      <x:c r="F604" s="294" t="n">
        <x:f>IF('초등학교+병설유치원(8월)'!AP49="",0,'초등학교+병설유치원(8월)'!AP49)</x:f>
        <x:v>16</x:v>
      </x:c>
      <x:c r="G604" s="294" t="n">
        <x:f>IF('초등학교+병설유치원(8월)'!AQ49="",0,'초등학교+병설유치원(8월)'!AQ49)</x:f>
        <x:v>0</x:v>
      </x:c>
      <x:c r="H604" s="294" t="n">
        <x:f>IF('초등학교+병설유치원(8월)'!AR49="",0,'초등학교+병설유치원(8월)'!AR49)</x:f>
        <x:v>0</x:v>
      </x:c>
      <x:c r="I604" s="294" t="n">
        <x:f>IF('초등학교+병설유치원(8월)'!AS49="",0,'초등학교+병설유치원(8월)'!AS49)</x:f>
        <x:v>0</x:v>
      </x:c>
      <x:c r="J604" s="296" t="n">
        <x:f>SUM(E604:I604)</x:f>
        <x:v>35</x:v>
      </x:c>
      <x:c r="K604" s="291" t="str">
        <x:v>8월</x:v>
      </x:c>
    </x:row>
    <x:row r="605">
      <x:c r="A605" s="291" t="n">
        <x:f>IF('초등학교+병설유치원(8월)'!A49="","",'초등학교+병설유치원(8월)'!A49)</x:f>
        <x:v>32</x:v>
      </x:c>
      <x:c r="B605" s="291" t="str">
        <x:v>초등학교</x:v>
      </x:c>
      <x:c r="C605" s="291" t="str">
        <x:f>IF('초등학교+병설유치원(8월)'!B49="","",'초등학교+병설유치원(8월)'!B49)</x:f>
        <x:v>익산한벌초</x:v>
      </x:c>
      <x:c r="D605" s="293" t="n">
        <x:v>46244</x:v>
      </x:c>
      <x:c r="E605" s="294" t="n">
        <x:f>IF('초등학교+병설유치원(8월)'!AU49="",0,'초등학교+병설유치원(8월)'!AU49)</x:f>
        <x:v>19</x:v>
      </x:c>
      <x:c r="F605" s="294" t="n">
        <x:f>IF('초등학교+병설유치원(8월)'!AV49="",0,'초등학교+병설유치원(8월)'!AV49)</x:f>
        <x:v>16</x:v>
      </x:c>
      <x:c r="G605" s="294" t="n">
        <x:f>IF('초등학교+병설유치원(8월)'!AW49="",0,'초등학교+병설유치원(8월)'!AW49)</x:f>
        <x:v>0</x:v>
      </x:c>
      <x:c r="H605" s="294" t="n">
        <x:f>IF('초등학교+병설유치원(8월)'!AX49="",0,'초등학교+병설유치원(8월)'!AX49)</x:f>
        <x:v>0</x:v>
      </x:c>
      <x:c r="I605" s="294" t="n">
        <x:f>IF('초등학교+병설유치원(8월)'!AY49="",0,'초등학교+병설유치원(8월)'!AY49)</x:f>
        <x:v>0</x:v>
      </x:c>
      <x:c r="J605" s="296" t="n">
        <x:f>SUM(E605:I605)</x:f>
        <x:v>35</x:v>
      </x:c>
      <x:c r="K605" s="291" t="str">
        <x:v>8월</x:v>
      </x:c>
    </x:row>
    <x:row r="606">
      <x:c r="A606" s="291" t="n">
        <x:f>IF('초등학교+병설유치원(8월)'!A49="","",'초등학교+병설유치원(8월)'!A49)</x:f>
        <x:v>32</x:v>
      </x:c>
      <x:c r="B606" s="291" t="str">
        <x:v>초등학교</x:v>
      </x:c>
      <x:c r="C606" s="291" t="str">
        <x:f>IF('초등학교+병설유치원(8월)'!B49="","",'초등학교+병설유치원(8월)'!B49)</x:f>
        <x:v>익산한벌초</x:v>
      </x:c>
      <x:c r="D606" s="293" t="n">
        <x:v>46245</x:v>
      </x:c>
      <x:c r="E606" s="294" t="n">
        <x:f>IF('초등학교+병설유치원(8월)'!BA49="",0,'초등학교+병설유치원(8월)'!BA49)</x:f>
        <x:v>19</x:v>
      </x:c>
      <x:c r="F606" s="294" t="n">
        <x:f>IF('초등학교+병설유치원(8월)'!BB49="",0,'초등학교+병설유치원(8월)'!BB49)</x:f>
        <x:v>16</x:v>
      </x:c>
      <x:c r="G606" s="294" t="n">
        <x:f>IF('초등학교+병설유치원(8월)'!BC49="",0,'초등학교+병설유치원(8월)'!BC49)</x:f>
        <x:v>0</x:v>
      </x:c>
      <x:c r="H606" s="294" t="n">
        <x:f>IF('초등학교+병설유치원(8월)'!BD49="",0,'초등학교+병설유치원(8월)'!BD49)</x:f>
        <x:v>0</x:v>
      </x:c>
      <x:c r="I606" s="294" t="n">
        <x:f>IF('초등학교+병설유치원(8월)'!BE49="",0,'초등학교+병설유치원(8월)'!BE49)</x:f>
        <x:v>0</x:v>
      </x:c>
      <x:c r="J606" s="296" t="n">
        <x:f>SUM(E606:I606)</x:f>
        <x:v>35</x:v>
      </x:c>
      <x:c r="K606" s="291" t="str">
        <x:v>8월</x:v>
      </x:c>
    </x:row>
    <x:row r="607">
      <x:c r="A607" s="291" t="n">
        <x:f>IF('초등학교+병설유치원(8월)'!A49="","",'초등학교+병설유치원(8월)'!A49)</x:f>
        <x:v>32</x:v>
      </x:c>
      <x:c r="B607" s="291" t="str">
        <x:v>초등학교</x:v>
      </x:c>
      <x:c r="C607" s="291" t="str">
        <x:f>IF('초등학교+병설유치원(8월)'!B49="","",'초등학교+병설유치원(8월)'!B49)</x:f>
        <x:v>익산한벌초</x:v>
      </x:c>
      <x:c r="D607" s="293" t="n">
        <x:v>46246</x:v>
      </x:c>
      <x:c r="E607" s="294" t="n">
        <x:f>IF('초등학교+병설유치원(8월)'!BG49="",0,'초등학교+병설유치원(8월)'!BG49)</x:f>
        <x:v>19</x:v>
      </x:c>
      <x:c r="F607" s="294" t="n">
        <x:f>IF('초등학교+병설유치원(8월)'!BH49="",0,'초등학교+병설유치원(8월)'!BH49)</x:f>
        <x:v>16</x:v>
      </x:c>
      <x:c r="G607" s="294" t="n">
        <x:f>IF('초등학교+병설유치원(8월)'!BI49="",0,'초등학교+병설유치원(8월)'!BI49)</x:f>
        <x:v>0</x:v>
      </x:c>
      <x:c r="H607" s="294" t="n">
        <x:f>IF('초등학교+병설유치원(8월)'!BJ49="",0,'초등학교+병설유치원(8월)'!BJ49)</x:f>
        <x:v>0</x:v>
      </x:c>
      <x:c r="I607" s="294" t="n">
        <x:f>IF('초등학교+병설유치원(8월)'!BK49="",0,'초등학교+병설유치원(8월)'!BK49)</x:f>
        <x:v>0</x:v>
      </x:c>
      <x:c r="J607" s="296" t="n">
        <x:f>SUM(E607:I607)</x:f>
        <x:v>35</x:v>
      </x:c>
      <x:c r="K607" s="291" t="str">
        <x:v>8월</x:v>
      </x:c>
    </x:row>
    <x:row r="608">
      <x:c r="A608" s="291" t="n">
        <x:f>IF('초등학교+병설유치원(8월)'!A49="","",'초등학교+병설유치원(8월)'!A49)</x:f>
        <x:v>32</x:v>
      </x:c>
      <x:c r="B608" s="291" t="str">
        <x:v>초등학교</x:v>
      </x:c>
      <x:c r="C608" s="291" t="str">
        <x:f>IF('초등학교+병설유치원(8월)'!B49="","",'초등학교+병설유치원(8월)'!B49)</x:f>
        <x:v>익산한벌초</x:v>
      </x:c>
      <x:c r="D608" s="293" t="n">
        <x:v>46247</x:v>
      </x:c>
      <x:c r="E608" s="294" t="n">
        <x:f>IF('초등학교+병설유치원(8월)'!BM49="",0,'초등학교+병설유치원(8월)'!BM49)</x:f>
        <x:v>19</x:v>
      </x:c>
      <x:c r="F608" s="294" t="n">
        <x:f>IF('초등학교+병설유치원(8월)'!BN49="",0,'초등학교+병설유치원(8월)'!BN49)</x:f>
        <x:v>16</x:v>
      </x:c>
      <x:c r="G608" s="294" t="n">
        <x:f>IF('초등학교+병설유치원(8월)'!BO49="",0,'초등학교+병설유치원(8월)'!BO49)</x:f>
        <x:v>0</x:v>
      </x:c>
      <x:c r="H608" s="294" t="n">
        <x:f>IF('초등학교+병설유치원(8월)'!BP49="",0,'초등학교+병설유치원(8월)'!BP49)</x:f>
        <x:v>0</x:v>
      </x:c>
      <x:c r="I608" s="294" t="n">
        <x:f>IF('초등학교+병설유치원(8월)'!BQ49="",0,'초등학교+병설유치원(8월)'!BQ49)</x:f>
        <x:v>0</x:v>
      </x:c>
      <x:c r="J608" s="296" t="n">
        <x:f>SUM(E608:I608)</x:f>
        <x:v>35</x:v>
      </x:c>
      <x:c r="K608" s="291" t="str">
        <x:v>8월</x:v>
      </x:c>
    </x:row>
    <x:row r="609">
      <x:c r="A609" s="291" t="n">
        <x:f>IF('초등학교+병설유치원(8월)'!A49="","",'초등학교+병설유치원(8월)'!A49)</x:f>
        <x:v>32</x:v>
      </x:c>
      <x:c r="B609" s="291" t="str">
        <x:v>초등학교</x:v>
      </x:c>
      <x:c r="C609" s="291" t="str">
        <x:f>IF('초등학교+병설유치원(8월)'!B49="","",'초등학교+병설유치원(8월)'!B49)</x:f>
        <x:v>익산한벌초</x:v>
      </x:c>
      <x:c r="D609" s="293" t="n">
        <x:v>46248</x:v>
      </x:c>
      <x:c r="E609" s="294" t="n">
        <x:f>IF('초등학교+병설유치원(8월)'!BS49="",0,'초등학교+병설유치원(8월)'!BS49)</x:f>
        <x:v>19</x:v>
      </x:c>
      <x:c r="F609" s="294" t="n">
        <x:f>IF('초등학교+병설유치원(8월)'!BT49="",0,'초등학교+병설유치원(8월)'!BT49)</x:f>
        <x:v>16</x:v>
      </x:c>
      <x:c r="G609" s="294" t="n">
        <x:f>IF('초등학교+병설유치원(8월)'!BU49="",0,'초등학교+병설유치원(8월)'!BU49)</x:f>
        <x:v>0</x:v>
      </x:c>
      <x:c r="H609" s="294" t="n">
        <x:f>IF('초등학교+병설유치원(8월)'!BV49="",0,'초등학교+병설유치원(8월)'!BV49)</x:f>
        <x:v>0</x:v>
      </x:c>
      <x:c r="I609" s="294" t="n">
        <x:f>IF('초등학교+병설유치원(8월)'!BW49="",0,'초등학교+병설유치원(8월)'!BW49)</x:f>
        <x:v>0</x:v>
      </x:c>
      <x:c r="J609" s="296" t="n">
        <x:f>SUM(E609:I609)</x:f>
        <x:v>35</x:v>
      </x:c>
      <x:c r="K609" s="291" t="str">
        <x:v>8월</x:v>
      </x:c>
    </x:row>
    <x:row r="610">
      <x:c r="A610" s="291" t="n">
        <x:f>IF('초등학교+병설유치원(8월)'!A49="","",'초등학교+병설유치원(8월)'!A49)</x:f>
        <x:v>32</x:v>
      </x:c>
      <x:c r="B610" s="291" t="str">
        <x:v>초등학교</x:v>
      </x:c>
      <x:c r="C610" s="291" t="str">
        <x:f>IF('초등학교+병설유치원(8월)'!B49="","",'초등학교+병설유치원(8월)'!B49)</x:f>
        <x:v>익산한벌초</x:v>
      </x:c>
      <x:c r="D610" s="293" t="n">
        <x:v>46252</x:v>
      </x:c>
      <x:c r="E610" s="294" t="n">
        <x:f>IF('초등학교+병설유치원(8월)'!BY49="",0,'초등학교+병설유치원(8월)'!BY49)</x:f>
        <x:v>19</x:v>
      </x:c>
      <x:c r="F610" s="294" t="n">
        <x:f>IF('초등학교+병설유치원(8월)'!BZ49="",0,'초등학교+병설유치원(8월)'!BZ49)</x:f>
        <x:v>16</x:v>
      </x:c>
      <x:c r="G610" s="294" t="n">
        <x:f>IF('초등학교+병설유치원(8월)'!CA49="",0,'초등학교+병설유치원(8월)'!CA49)</x:f>
        <x:v>0</x:v>
      </x:c>
      <x:c r="H610" s="294" t="n">
        <x:f>IF('초등학교+병설유치원(8월)'!CB49="",0,'초등학교+병설유치원(8월)'!CB49)</x:f>
        <x:v>0</x:v>
      </x:c>
      <x:c r="I610" s="294" t="n">
        <x:f>IF('초등학교+병설유치원(8월)'!CC49="",0,'초등학교+병설유치원(8월)'!CC49)</x:f>
        <x:v>0</x:v>
      </x:c>
      <x:c r="J610" s="296" t="n">
        <x:f>SUM(E610:I610)</x:f>
        <x:v>35</x:v>
      </x:c>
      <x:c r="K610" s="291" t="str">
        <x:v>8월</x:v>
      </x:c>
    </x:row>
    <x:row r="611">
      <x:c r="A611" s="291" t="n">
        <x:f>IF('초등학교+병설유치원(8월)'!A49="","",'초등학교+병설유치원(8월)'!A49)</x:f>
        <x:v>32</x:v>
      </x:c>
      <x:c r="B611" s="291" t="str">
        <x:v>초등학교</x:v>
      </x:c>
      <x:c r="C611" s="291" t="str">
        <x:f>IF('초등학교+병설유치원(8월)'!B49="","",'초등학교+병설유치원(8월)'!B49)</x:f>
        <x:v>익산한벌초</x:v>
      </x:c>
      <x:c r="D611" s="293" t="n">
        <x:v>46253</x:v>
      </x:c>
      <x:c r="E611" s="294" t="n">
        <x:f>IF('초등학교+병설유치원(8월)'!CE49="",0,'초등학교+병설유치원(8월)'!CE49)</x:f>
        <x:v>19</x:v>
      </x:c>
      <x:c r="F611" s="294" t="n">
        <x:f>IF('초등학교+병설유치원(8월)'!CF49="",0,'초등학교+병설유치원(8월)'!CF49)</x:f>
        <x:v>16</x:v>
      </x:c>
      <x:c r="G611" s="294" t="n">
        <x:f>IF('초등학교+병설유치원(8월)'!CG49="",0,'초등학교+병설유치원(8월)'!CG49)</x:f>
        <x:v>0</x:v>
      </x:c>
      <x:c r="H611" s="294" t="n">
        <x:f>IF('초등학교+병설유치원(8월)'!CH49="",0,'초등학교+병설유치원(8월)'!CH49)</x:f>
        <x:v>0</x:v>
      </x:c>
      <x:c r="I611" s="294" t="n">
        <x:f>IF('초등학교+병설유치원(8월)'!CI49="",0,'초등학교+병설유치원(8월)'!CI49)</x:f>
        <x:v>0</x:v>
      </x:c>
      <x:c r="J611" s="296" t="n">
        <x:f>SUM(E611:I611)</x:f>
        <x:v>35</x:v>
      </x:c>
      <x:c r="K611" s="291" t="str">
        <x:v>8월</x:v>
      </x:c>
    </x:row>
    <x:row r="612">
      <x:c r="A612" s="289" t="str">
        <x:v>합계</x:v>
      </x:c>
      <x:c r="B612" s="289"/>
      <x:c r="C612" s="289"/>
      <x:c r="D612" s="289"/>
      <x:c r="E612" s="290" t="n">
        <x:f>SUM(E6:E611)</x:f>
        <x:v>9392</x:v>
      </x:c>
      <x:c r="F612" s="290" t="n">
        <x:f>SUM(F6:F611)</x:f>
        <x:v>5232</x:v>
      </x:c>
      <x:c r="G612" s="290" t="n">
        <x:f>SUM(G6:G611)</x:f>
        <x:v>1274</x:v>
      </x:c>
      <x:c r="H612" s="290" t="n">
        <x:f>SUM(H6:H611)</x:f>
        <x:v>280</x:v>
      </x:c>
      <x:c r="I612" s="290" t="n">
        <x:f>SUM(I6:I611)</x:f>
        <x:v>1106</x:v>
      </x:c>
      <x:c r="J612" s="290" t="n">
        <x:f>SUM(J6:J611)</x:f>
        <x:v>17284</x:v>
      </x:c>
      <x:c r="K612" s="289"/>
    </x:row>
  </x:sheetData>
  <x:mergeCells>
    <x:mergeCell ref="A1:K1"/>
    <x:mergeCell ref="H3:K3"/>
  </x:mergeCells>
  <x:pageMargins left="0.7" right="0.7" top="0.75" bottom="0.75" header="0.3" footer="0.3"/>
  <x:tableParts count="1">
    <x:tablePart xmlns:r="http://schemas.openxmlformats.org/officeDocument/2006/relationships" r:id="R1961a8632f674fd1"/>
  </x:tableParts>
</x:worksheet>
</file>